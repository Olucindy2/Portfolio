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Optimized\Downloads\"/>
    </mc:Choice>
  </mc:AlternateContent>
  <xr:revisionPtr revIDLastSave="0" documentId="13_ncr:1_{FD82394A-CEDA-4BC7-A8B3-3C2268A54E8C}" xr6:coauthVersionLast="47" xr6:coauthVersionMax="47" xr10:uidLastSave="{00000000-0000-0000-0000-000000000000}"/>
  <bookViews>
    <workbookView xWindow="-110" yWindow="-110" windowWidth="19420" windowHeight="10300" tabRatio="500" activeTab="3" xr2:uid="{00000000-000D-0000-FFFF-FFFF00000000}"/>
  </bookViews>
  <sheets>
    <sheet name="Sprint Tracking" sheetId="1" r:id="rId1"/>
    <sheet name="Budget Tracking" sheetId="2" r:id="rId2"/>
    <sheet name="Risk Register" sheetId="3" r:id="rId3"/>
    <sheet name="Bug Tracker" sheetId="4" r:id="rId4"/>
    <sheet name="Team Summary" sheetId="5" r:id="rId5"/>
    <sheet name="Burndown Data" sheetId="6" r:id="rId6"/>
  </sheets>
  <definedNames>
    <definedName name="_xlnm._FilterDatabase" localSheetId="3" hidden="1">'Bug Tracker'!$A$1:$L$15</definedName>
    <definedName name="_xlnm._FilterDatabase" localSheetId="0" hidden="1">'Sprint Tracking'!$A$1:$O$31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8" i="5" l="1"/>
  <c r="H8" i="5"/>
  <c r="G8" i="5"/>
  <c r="E8" i="5"/>
  <c r="D8" i="5"/>
  <c r="C8" i="5"/>
  <c r="F7" i="5"/>
  <c r="F6" i="5"/>
  <c r="F5" i="5"/>
  <c r="F4" i="5"/>
  <c r="F3" i="5"/>
  <c r="F2" i="5"/>
  <c r="F8" i="5" s="1"/>
  <c r="J15" i="4"/>
  <c r="J14" i="4"/>
  <c r="J13" i="4"/>
  <c r="J12" i="4"/>
  <c r="J11" i="4"/>
  <c r="J10" i="4"/>
  <c r="J9" i="4"/>
  <c r="J8" i="4"/>
  <c r="J7" i="4"/>
  <c r="J6" i="4"/>
  <c r="J5" i="4"/>
  <c r="J4" i="4"/>
  <c r="J3" i="4"/>
  <c r="J2" i="4"/>
  <c r="F11" i="3"/>
  <c r="F10" i="3"/>
  <c r="F9" i="3"/>
  <c r="F8" i="3"/>
  <c r="F7" i="3"/>
  <c r="F6" i="3"/>
  <c r="F5" i="3"/>
  <c r="F4" i="3"/>
  <c r="F3" i="3"/>
  <c r="F2" i="3"/>
  <c r="B19" i="2"/>
  <c r="D16" i="2"/>
  <c r="B20" i="2" s="1"/>
  <c r="C16" i="2"/>
  <c r="H15" i="2"/>
  <c r="G15" i="2"/>
  <c r="F15" i="2"/>
  <c r="E15" i="2"/>
  <c r="H14" i="2"/>
  <c r="G14" i="2"/>
  <c r="F14" i="2"/>
  <c r="E14" i="2"/>
  <c r="H13" i="2"/>
  <c r="G13" i="2"/>
  <c r="F13" i="2"/>
  <c r="E13" i="2"/>
  <c r="H12" i="2"/>
  <c r="G12" i="2"/>
  <c r="F12" i="2"/>
  <c r="E12" i="2"/>
  <c r="H11" i="2"/>
  <c r="G11" i="2"/>
  <c r="F11" i="2"/>
  <c r="E11" i="2"/>
  <c r="H10" i="2"/>
  <c r="G10" i="2"/>
  <c r="F10" i="2"/>
  <c r="E10" i="2"/>
  <c r="H9" i="2"/>
  <c r="G9" i="2"/>
  <c r="F9" i="2"/>
  <c r="E9" i="2"/>
  <c r="H8" i="2"/>
  <c r="G8" i="2"/>
  <c r="F8" i="2"/>
  <c r="E8" i="2"/>
  <c r="H7" i="2"/>
  <c r="G7" i="2"/>
  <c r="F7" i="2"/>
  <c r="E7" i="2"/>
  <c r="H6" i="2"/>
  <c r="G6" i="2"/>
  <c r="F6" i="2"/>
  <c r="E6" i="2"/>
  <c r="H5" i="2"/>
  <c r="G5" i="2"/>
  <c r="F5" i="2"/>
  <c r="E5" i="2"/>
  <c r="H4" i="2"/>
  <c r="G4" i="2"/>
  <c r="F4" i="2"/>
  <c r="E4" i="2"/>
  <c r="H3" i="2"/>
  <c r="G3" i="2"/>
  <c r="F3" i="2"/>
  <c r="E3" i="2"/>
  <c r="H2" i="2"/>
  <c r="G2" i="2"/>
  <c r="F2" i="2"/>
  <c r="E2" i="2"/>
  <c r="E16" i="2" l="1"/>
  <c r="F16" i="2"/>
  <c r="B22" i="2" l="1"/>
  <c r="B21" i="2"/>
</calcChain>
</file>

<file path=xl/sharedStrings.xml><?xml version="1.0" encoding="utf-8"?>
<sst xmlns="http://schemas.openxmlformats.org/spreadsheetml/2006/main" count="590" uniqueCount="278">
  <si>
    <t>Story ID</t>
  </si>
  <si>
    <t>Story Title</t>
  </si>
  <si>
    <t>Epic</t>
  </si>
  <si>
    <t>Sprint</t>
  </si>
  <si>
    <t>Story Points</t>
  </si>
  <si>
    <t>Status</t>
  </si>
  <si>
    <t>Priority</t>
  </si>
  <si>
    <t>Assignee</t>
  </si>
  <si>
    <t>Role</t>
  </si>
  <si>
    <t>Label</t>
  </si>
  <si>
    <t>Start Date</t>
  </si>
  <si>
    <t>End Date</t>
  </si>
  <si>
    <t>Days in Progress</t>
  </si>
  <si>
    <t>Blocked Days</t>
  </si>
  <si>
    <t>Notes</t>
  </si>
  <si>
    <t>SMRT-001</t>
  </si>
  <si>
    <t>Search apartments by city district</t>
  </si>
  <si>
    <t>Housing Marketplace</t>
  </si>
  <si>
    <t>Sprint 1</t>
  </si>
  <si>
    <t>Done</t>
  </si>
  <si>
    <t>Highest</t>
  </si>
  <si>
    <t>Anna Berger</t>
  </si>
  <si>
    <t>Frontend Dev</t>
  </si>
  <si>
    <t>frontend</t>
  </si>
  <si>
    <t>SMRT-002</t>
  </si>
  <si>
    <t>Create listing with photos &amp; description</t>
  </si>
  <si>
    <t>Markus Hofer</t>
  </si>
  <si>
    <t>Backend Dev</t>
  </si>
  <si>
    <t>backend</t>
  </si>
  <si>
    <t>API endpoint refactored mid-sprint</t>
  </si>
  <si>
    <t>SMRT-003</t>
  </si>
  <si>
    <t>Save favorite listings</t>
  </si>
  <si>
    <t>High</t>
  </si>
  <si>
    <t>SMRT-004</t>
  </si>
  <si>
    <t>Filter by price &amp; apartment size</t>
  </si>
  <si>
    <t>Stefan Pichler</t>
  </si>
  <si>
    <t>SMRT-005</t>
  </si>
  <si>
    <t>Landlord receives inquiries in-app</t>
  </si>
  <si>
    <t>Medium</t>
  </si>
  <si>
    <t>SMRT-006</t>
  </si>
  <si>
    <t>Admin reviews &amp; approves listings</t>
  </si>
  <si>
    <t>SMRT-007</t>
  </si>
  <si>
    <t>Simplified 3-step signup flow</t>
  </si>
  <si>
    <t>User Onboarding</t>
  </si>
  <si>
    <t>Lena Gruber</t>
  </si>
  <si>
    <t>UX Designer</t>
  </si>
  <si>
    <t>design</t>
  </si>
  <si>
    <t>SMRT-008</t>
  </si>
  <si>
    <t>Social login (Google &amp; Apple)</t>
  </si>
  <si>
    <t>Apple developer account delay</t>
  </si>
  <si>
    <t>SMRT-009</t>
  </si>
  <si>
    <t>Welcome tour for new users</t>
  </si>
  <si>
    <t>SMRT-010</t>
  </si>
  <si>
    <t>Email verification flow</t>
  </si>
  <si>
    <t>SMRT-011</t>
  </si>
  <si>
    <t>Stripe integration setup</t>
  </si>
  <si>
    <t>Payment Integration</t>
  </si>
  <si>
    <t>Sprint 2</t>
  </si>
  <si>
    <t>Stripe sandbox credentials delayed</t>
  </si>
  <si>
    <t>SMRT-012</t>
  </si>
  <si>
    <t>Secure deposit payment flow</t>
  </si>
  <si>
    <t>SMRT-013</t>
  </si>
  <si>
    <t>Payment confirmation &amp; receipt emails</t>
  </si>
  <si>
    <t>SMRT-014</t>
  </si>
  <si>
    <t>Refund processing workflow</t>
  </si>
  <si>
    <t>In Progress</t>
  </si>
  <si>
    <t>Carried to Sprint 3 — edge cases found</t>
  </si>
  <si>
    <t>SMRT-015</t>
  </si>
  <si>
    <t>Payment UI — card input form</t>
  </si>
  <si>
    <t>SMRT-016</t>
  </si>
  <si>
    <t>i18n framework setup</t>
  </si>
  <si>
    <t>Localization</t>
  </si>
  <si>
    <t>SMRT-017</t>
  </si>
  <si>
    <t>German translation — all UI strings</t>
  </si>
  <si>
    <t>Freelance translator delivered late</t>
  </si>
  <si>
    <t>SMRT-018</t>
  </si>
  <si>
    <t>Language toggle in settings</t>
  </si>
  <si>
    <t>SMRT-019</t>
  </si>
  <si>
    <t>Date &amp; currency format localization</t>
  </si>
  <si>
    <t>Blocked</t>
  </si>
  <si>
    <t>Blocked — needs decision on € vs CHF support</t>
  </si>
  <si>
    <t>SMRT-020</t>
  </si>
  <si>
    <t>Legal disclaimers in German</t>
  </si>
  <si>
    <t>Low</t>
  </si>
  <si>
    <t>Thomas Bauer</t>
  </si>
  <si>
    <t>Marketing</t>
  </si>
  <si>
    <t>legal</t>
  </si>
  <si>
    <t>SMRT-021</t>
  </si>
  <si>
    <t>App Store listing (DE &amp; EN)</t>
  </si>
  <si>
    <t>Launch &amp; Marketing</t>
  </si>
  <si>
    <t>Sprint 3</t>
  </si>
  <si>
    <t>marketing</t>
  </si>
  <si>
    <t>SMRT-022</t>
  </si>
  <si>
    <t>Press release for Austrian tech media</t>
  </si>
  <si>
    <t>SMRT-023</t>
  </si>
  <si>
    <t>Social media launch campaign</t>
  </si>
  <si>
    <t>SMRT-024</t>
  </si>
  <si>
    <t>Landing page update for V2.0</t>
  </si>
  <si>
    <t>SMRT-025</t>
  </si>
  <si>
    <t>Beta tester feedback collection</t>
  </si>
  <si>
    <t>Julia Eder</t>
  </si>
  <si>
    <t>QA Engineer</t>
  </si>
  <si>
    <t>testing</t>
  </si>
  <si>
    <t>SMRT-014b</t>
  </si>
  <si>
    <t>Refund processing workflow (carried)</t>
  </si>
  <si>
    <t>Completed after scope reduction</t>
  </si>
  <si>
    <t>SMRT-019b</t>
  </si>
  <si>
    <t>Date &amp; currency localization (unblocked)</t>
  </si>
  <si>
    <t>Decision: EUR only for V2.0</t>
  </si>
  <si>
    <t>SMRT-026</t>
  </si>
  <si>
    <t>End-to-end regression testing</t>
  </si>
  <si>
    <t>SMRT-027</t>
  </si>
  <si>
    <t>Performance load testing</t>
  </si>
  <si>
    <t>Ongoing — results pending</t>
  </si>
  <si>
    <t>SMRT-028</t>
  </si>
  <si>
    <t>Go / No-Go launch checklist</t>
  </si>
  <si>
    <t>To Do</t>
  </si>
  <si>
    <t>Scheduled for sprint end</t>
  </si>
  <si>
    <t>Month</t>
  </si>
  <si>
    <t>Category</t>
  </si>
  <si>
    <t>Planned (€)</t>
  </si>
  <si>
    <t>Actual (€)</t>
  </si>
  <si>
    <t>Variance (€)</t>
  </si>
  <si>
    <t>Variance %</t>
  </si>
  <si>
    <t>Cumulative Planned (€)</t>
  </si>
  <si>
    <t>Cumulative Actual (€)</t>
  </si>
  <si>
    <t>May 2026</t>
  </si>
  <si>
    <t>Development</t>
  </si>
  <si>
    <t>One dev under-utilized in week 1</t>
  </si>
  <si>
    <t>UX / Design</t>
  </si>
  <si>
    <t>Extra freelance designer for onboarding</t>
  </si>
  <si>
    <t>QA / Testing</t>
  </si>
  <si>
    <t>Testing starts mainly in June</t>
  </si>
  <si>
    <t>Launch campaign prep started</t>
  </si>
  <si>
    <t>Infrastructure (AWS)</t>
  </si>
  <si>
    <t>Staging environment costs higher</t>
  </si>
  <si>
    <t>Legal / Compliance</t>
  </si>
  <si>
    <t>GDPR review for payment data</t>
  </si>
  <si>
    <t>Contingency</t>
  </si>
  <si>
    <t>Not used</t>
  </si>
  <si>
    <t>June 2026</t>
  </si>
  <si>
    <t>Overtime for payment integration fixes</t>
  </si>
  <si>
    <t>Design work front-loaded in May</t>
  </si>
  <si>
    <t>Additional load testing tools</t>
  </si>
  <si>
    <t>Social media campaign underway</t>
  </si>
  <si>
    <t>Production environment scaling</t>
  </si>
  <si>
    <t>Final review completed</t>
  </si>
  <si>
    <t>Used for translator rush fee</t>
  </si>
  <si>
    <t>TOTAL</t>
  </si>
  <si>
    <t>Budget Summary</t>
  </si>
  <si>
    <t>Total Planned Budget</t>
  </si>
  <si>
    <t>Total Actual Spend</t>
  </si>
  <si>
    <t>Overall Variance</t>
  </si>
  <si>
    <t>Budget Health</t>
  </si>
  <si>
    <t>Risk ID</t>
  </si>
  <si>
    <t>Description</t>
  </si>
  <si>
    <t>Probability (1-5)</t>
  </si>
  <si>
    <t>Impact (1-5)</t>
  </si>
  <si>
    <t>Risk Score</t>
  </si>
  <si>
    <t>Owner</t>
  </si>
  <si>
    <t>Mitigation Strategy</t>
  </si>
  <si>
    <t>Last Updated</t>
  </si>
  <si>
    <t>R-001</t>
  </si>
  <si>
    <t>Stripe integration delays block payment feature</t>
  </si>
  <si>
    <t>Technical</t>
  </si>
  <si>
    <t>Active</t>
  </si>
  <si>
    <t>Parallel evaluation of Adyen as backup; weekly sync with Stripe support</t>
  </si>
  <si>
    <t>R-002</t>
  </si>
  <si>
    <t>German localization not ready for launch date</t>
  </si>
  <si>
    <t>Schedule</t>
  </si>
  <si>
    <t>Mitigated</t>
  </si>
  <si>
    <t>Hired additional freelance translator; reduced scope to core UI strings only</t>
  </si>
  <si>
    <t>R-003</t>
  </si>
  <si>
    <t>App Store review rejection delays launch</t>
  </si>
  <si>
    <t>External</t>
  </si>
  <si>
    <t>Monitoring</t>
  </si>
  <si>
    <t>Pre-submission review checklist; TestFlight beta for early feedback</t>
  </si>
  <si>
    <t>R-004</t>
  </si>
  <si>
    <t>GDPR compliance gap in payment data handling</t>
  </si>
  <si>
    <t>Legal</t>
  </si>
  <si>
    <t>Engaged DPO for audit; Stripe handles PCI compliance natively</t>
  </si>
  <si>
    <t>R-005</t>
  </si>
  <si>
    <t>Key developer unavailable during Sprint 3</t>
  </si>
  <si>
    <t>Resource</t>
  </si>
  <si>
    <t>PM (You)</t>
  </si>
  <si>
    <t>Cross-trained Stefan on Markus's modules; documented all APIs</t>
  </si>
  <si>
    <t>R-006</t>
  </si>
  <si>
    <t>Server costs exceed budget due to scaling</t>
  </si>
  <si>
    <t>Financial</t>
  </si>
  <si>
    <t>Set AWS cost alerts at 80% threshold; optimize queries before launch</t>
  </si>
  <si>
    <t>R-007</t>
  </si>
  <si>
    <t>Competitor launches similar feature first</t>
  </si>
  <si>
    <t>Strategic</t>
  </si>
  <si>
    <t>Accepted</t>
  </si>
  <si>
    <t>Focus on local Salzburg market differentiation; faster iteration cycle</t>
  </si>
  <si>
    <t>R-008</t>
  </si>
  <si>
    <t>User adoption below target in first month</t>
  </si>
  <si>
    <t>Business</t>
  </si>
  <si>
    <t>Pre-launch email campaign to 2,000 existing users; referral incentive</t>
  </si>
  <si>
    <t>R-009</t>
  </si>
  <si>
    <t>Load testing reveals performance bottleneck</t>
  </si>
  <si>
    <t>Running load tests in Sprint 3; database indexing optimization planned</t>
  </si>
  <si>
    <t>R-010</t>
  </si>
  <si>
    <t>Currency handling errors (€ formatting)</t>
  </si>
  <si>
    <t>Standardized to EUR-only for V2.0; automated test suite for formatting</t>
  </si>
  <si>
    <t>Bug ID</t>
  </si>
  <si>
    <t>Title</t>
  </si>
  <si>
    <t>Related Epic</t>
  </si>
  <si>
    <t>Severity</t>
  </si>
  <si>
    <t>Reported By</t>
  </si>
  <si>
    <t>Assigned To</t>
  </si>
  <si>
    <t>Date Reported</t>
  </si>
  <si>
    <t>Date Resolved</t>
  </si>
  <si>
    <t>Days Open</t>
  </si>
  <si>
    <t>Sprint Found</t>
  </si>
  <si>
    <t>Environment</t>
  </si>
  <si>
    <t>BUG-001</t>
  </si>
  <si>
    <t>Payment form crashes on iOS Safari</t>
  </si>
  <si>
    <t>Critical</t>
  </si>
  <si>
    <t>Resolved</t>
  </si>
  <si>
    <t>iOS Safari 17</t>
  </si>
  <si>
    <t>BUG-002</t>
  </si>
  <si>
    <t>Listing photos not loading on slow connections</t>
  </si>
  <si>
    <t>Major</t>
  </si>
  <si>
    <t>Android Chrome</t>
  </si>
  <si>
    <t>BUG-003</t>
  </si>
  <si>
    <t>German umlauts (ä, ö, ü) break search filter</t>
  </si>
  <si>
    <t>All browsers</t>
  </si>
  <si>
    <t>BUG-004</t>
  </si>
  <si>
    <t>Signup email confirmation link expires too fast</t>
  </si>
  <si>
    <t>Minor</t>
  </si>
  <si>
    <t>Email clients</t>
  </si>
  <si>
    <t>BUG-005</t>
  </si>
  <si>
    <t>Stripe webhook fails silently on timeout</t>
  </si>
  <si>
    <t>Production</t>
  </si>
  <si>
    <t>BUG-006</t>
  </si>
  <si>
    <t>Saved favorites count shows wrong number</t>
  </si>
  <si>
    <t>Web app</t>
  </si>
  <si>
    <t>BUG-007</t>
  </si>
  <si>
    <t>€ symbol displays as '?' in PDF receipts</t>
  </si>
  <si>
    <t>PDF generation</t>
  </si>
  <si>
    <t>BUG-008</t>
  </si>
  <si>
    <t>Language toggle resets after page refresh</t>
  </si>
  <si>
    <t>Open</t>
  </si>
  <si>
    <t>Firefox</t>
  </si>
  <si>
    <t>BUG-009</t>
  </si>
  <si>
    <t>Search results page takes &gt;5s to load with 100+ listings</t>
  </si>
  <si>
    <t>BUG-010</t>
  </si>
  <si>
    <t>Push notification not sent for new inquiry</t>
  </si>
  <si>
    <t>iOS &amp; Android</t>
  </si>
  <si>
    <t>BUG-011</t>
  </si>
  <si>
    <t>Duplicate listings possible via rapid form submit</t>
  </si>
  <si>
    <t>BUG-012</t>
  </si>
  <si>
    <t>Social login button misaligned on small screens</t>
  </si>
  <si>
    <t>Mobile 375px</t>
  </si>
  <si>
    <t>BUG-013</t>
  </si>
  <si>
    <t>Refund email sent in English regardless of locale</t>
  </si>
  <si>
    <t>Email</t>
  </si>
  <si>
    <t>BUG-014</t>
  </si>
  <si>
    <t>Admin dashboard timeout on large dataset</t>
  </si>
  <si>
    <t>Admin panel</t>
  </si>
  <si>
    <t>Team Member</t>
  </si>
  <si>
    <t>Sprint 1 Points</t>
  </si>
  <si>
    <t>Sprint 2 Points</t>
  </si>
  <si>
    <t>Sprint 3 Points</t>
  </si>
  <si>
    <t>Total Points</t>
  </si>
  <si>
    <t>Stories Completed</t>
  </si>
  <si>
    <t>Bugs Fixed</t>
  </si>
  <si>
    <t>Avg Days per Story</t>
  </si>
  <si>
    <t>TEAM TOTAL</t>
  </si>
  <si>
    <t>Day</t>
  </si>
  <si>
    <t>Date</t>
  </si>
  <si>
    <t>Sprint 1 Remaining</t>
  </si>
  <si>
    <t>Sprint 1 Ideal</t>
  </si>
  <si>
    <t>Sprint 2 Remaining</t>
  </si>
  <si>
    <t>Sprint 2 Ideal</t>
  </si>
  <si>
    <t>Sprint 3 Remaining</t>
  </si>
  <si>
    <t>Sprint 3 Ideal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</si>
</sst>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"/>
    <numFmt numFmtId="165" formatCode="0.0%"/>
    <numFmt numFmtId="166" formatCode="\€#,##0"/>
  </numFmts>
  <fonts count="17" x14ac:knownFonts="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sz val="10"/>
      <name val="Arial"/>
      <charset val="1"/>
    </font>
    <font>
      <sz val="10"/>
      <color rgb="FF1B7A3D"/>
      <name val="Arial"/>
      <charset val="1"/>
    </font>
    <font>
      <b/>
      <sz val="10"/>
      <color rgb="FFCC0000"/>
      <name val="Arial"/>
      <charset val="1"/>
    </font>
    <font>
      <b/>
      <sz val="10"/>
      <color rgb="FFE8834A"/>
      <name val="Arial"/>
      <charset val="1"/>
    </font>
    <font>
      <sz val="10"/>
      <color rgb="FFB8860B"/>
      <name val="Arial"/>
      <charset val="1"/>
    </font>
    <font>
      <sz val="10"/>
      <color rgb="FF666666"/>
      <name val="Arial"/>
      <charset val="1"/>
    </font>
    <font>
      <b/>
      <sz val="10"/>
      <name val="Arial"/>
      <charset val="1"/>
    </font>
    <font>
      <b/>
      <sz val="12"/>
      <color rgb="FF1A535E"/>
      <name val="Arial"/>
      <charset val="1"/>
    </font>
    <font>
      <b/>
      <sz val="12"/>
      <color rgb="FFFFFFFF"/>
      <name val="Times New Roman"/>
      <family val="1"/>
    </font>
    <font>
      <sz val="12"/>
      <color theme="1"/>
      <name val="Times New Roman"/>
      <family val="1"/>
    </font>
    <font>
      <sz val="12"/>
      <name val="Times New Roman"/>
      <family val="1"/>
    </font>
    <font>
      <b/>
      <sz val="12"/>
      <color rgb="FFCC0000"/>
      <name val="Times New Roman"/>
      <family val="1"/>
    </font>
    <font>
      <sz val="12"/>
      <color rgb="FF1B7A3D"/>
      <name val="Times New Roman"/>
      <family val="1"/>
    </font>
    <font>
      <b/>
      <sz val="12"/>
      <color rgb="FFCC6600"/>
      <name val="Times New Roman"/>
      <family val="1"/>
    </font>
    <font>
      <sz val="12"/>
      <color rgb="FFB8860B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rgb="FF1A535E"/>
        <bgColor rgb="FF0E3B42"/>
      </patternFill>
    </fill>
    <fill>
      <patternFill patternType="solid">
        <fgColor rgb="FFF5F5F5"/>
        <bgColor rgb="FFFFFFFF"/>
      </patternFill>
    </fill>
    <fill>
      <patternFill patternType="solid">
        <fgColor rgb="FFFFFFFF"/>
        <bgColor rgb="FFF5F5F5"/>
      </patternFill>
    </fill>
    <fill>
      <patternFill patternType="solid">
        <fgColor rgb="FFFFE0E0"/>
        <bgColor rgb="FFF5F5F5"/>
      </patternFill>
    </fill>
    <fill>
      <patternFill patternType="solid">
        <fgColor rgb="FF7030A0"/>
        <bgColor rgb="FF0E3B42"/>
      </patternFill>
    </fill>
  </fills>
  <borders count="2">
    <border>
      <left/>
      <right/>
      <top/>
      <bottom/>
      <diagonal/>
    </border>
    <border>
      <left/>
      <right/>
      <top/>
      <bottom style="thin">
        <color rgb="FFD0D0D0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vertical="center"/>
    </xf>
    <xf numFmtId="164" fontId="2" fillId="3" borderId="1" xfId="0" applyNumberFormat="1" applyFont="1" applyFill="1" applyBorder="1" applyAlignment="1">
      <alignment vertical="center"/>
    </xf>
    <xf numFmtId="0" fontId="2" fillId="4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vertical="center"/>
    </xf>
    <xf numFmtId="164" fontId="2" fillId="4" borderId="1" xfId="0" applyNumberFormat="1" applyFont="1" applyFill="1" applyBorder="1" applyAlignment="1">
      <alignment vertical="center"/>
    </xf>
    <xf numFmtId="0" fontId="5" fillId="3" borderId="1" xfId="0" applyFont="1" applyFill="1" applyBorder="1" applyAlignment="1">
      <alignment vertical="center"/>
    </xf>
    <xf numFmtId="0" fontId="5" fillId="4" borderId="1" xfId="0" applyFont="1" applyFill="1" applyBorder="1" applyAlignment="1">
      <alignment vertical="center"/>
    </xf>
    <xf numFmtId="0" fontId="6" fillId="4" borderId="1" xfId="0" applyFont="1" applyFill="1" applyBorder="1" applyAlignment="1">
      <alignment vertical="center"/>
    </xf>
    <xf numFmtId="0" fontId="6" fillId="3" borderId="1" xfId="0" applyFont="1" applyFill="1" applyBorder="1" applyAlignment="1">
      <alignment vertical="center"/>
    </xf>
    <xf numFmtId="0" fontId="7" fillId="4" borderId="1" xfId="0" applyFont="1" applyFill="1" applyBorder="1" applyAlignment="1">
      <alignment vertical="center"/>
    </xf>
    <xf numFmtId="3" fontId="2" fillId="3" borderId="1" xfId="0" applyNumberFormat="1" applyFont="1" applyFill="1" applyBorder="1" applyAlignment="1">
      <alignment vertical="center"/>
    </xf>
    <xf numFmtId="165" fontId="2" fillId="3" borderId="1" xfId="0" applyNumberFormat="1" applyFont="1" applyFill="1" applyBorder="1" applyAlignment="1">
      <alignment vertical="center"/>
    </xf>
    <xf numFmtId="3" fontId="2" fillId="4" borderId="1" xfId="0" applyNumberFormat="1" applyFont="1" applyFill="1" applyBorder="1" applyAlignment="1">
      <alignment vertical="center"/>
    </xf>
    <xf numFmtId="165" fontId="2" fillId="4" borderId="1" xfId="0" applyNumberFormat="1" applyFont="1" applyFill="1" applyBorder="1" applyAlignment="1">
      <alignment vertical="center"/>
    </xf>
    <xf numFmtId="0" fontId="8" fillId="0" borderId="0" xfId="0" applyFont="1"/>
    <xf numFmtId="3" fontId="8" fillId="0" borderId="0" xfId="0" applyNumberFormat="1" applyFont="1"/>
    <xf numFmtId="165" fontId="8" fillId="0" borderId="0" xfId="0" applyNumberFormat="1" applyFont="1"/>
    <xf numFmtId="0" fontId="9" fillId="0" borderId="0" xfId="0" applyFont="1"/>
    <xf numFmtId="166" fontId="0" fillId="0" borderId="0" xfId="0" applyNumberFormat="1"/>
    <xf numFmtId="0" fontId="10" fillId="2" borderId="0" xfId="0" applyFont="1" applyFill="1" applyAlignment="1">
      <alignment horizontal="center" vertical="center" wrapText="1"/>
    </xf>
    <xf numFmtId="0" fontId="11" fillId="0" borderId="0" xfId="0" applyFont="1"/>
    <xf numFmtId="0" fontId="12" fillId="3" borderId="1" xfId="0" applyFont="1" applyFill="1" applyBorder="1" applyAlignment="1">
      <alignment vertical="center"/>
    </xf>
    <xf numFmtId="0" fontId="13" fillId="5" borderId="1" xfId="0" applyFont="1" applyFill="1" applyBorder="1" applyAlignment="1">
      <alignment vertical="center"/>
    </xf>
    <xf numFmtId="0" fontId="14" fillId="3" borderId="1" xfId="0" applyFont="1" applyFill="1" applyBorder="1" applyAlignment="1">
      <alignment vertical="center"/>
    </xf>
    <xf numFmtId="164" fontId="12" fillId="3" borderId="1" xfId="0" applyNumberFormat="1" applyFont="1" applyFill="1" applyBorder="1" applyAlignment="1">
      <alignment vertical="center"/>
    </xf>
    <xf numFmtId="0" fontId="12" fillId="4" borderId="1" xfId="0" applyFont="1" applyFill="1" applyBorder="1" applyAlignment="1">
      <alignment vertical="center"/>
    </xf>
    <xf numFmtId="0" fontId="15" fillId="4" borderId="1" xfId="0" applyFont="1" applyFill="1" applyBorder="1" applyAlignment="1">
      <alignment vertical="center"/>
    </xf>
    <xf numFmtId="0" fontId="14" fillId="4" borderId="1" xfId="0" applyFont="1" applyFill="1" applyBorder="1" applyAlignment="1">
      <alignment vertical="center"/>
    </xf>
    <xf numFmtId="164" fontId="12" fillId="4" borderId="1" xfId="0" applyNumberFormat="1" applyFont="1" applyFill="1" applyBorder="1" applyAlignment="1">
      <alignment vertical="center"/>
    </xf>
    <xf numFmtId="0" fontId="15" fillId="3" borderId="1" xfId="0" applyFont="1" applyFill="1" applyBorder="1" applyAlignment="1">
      <alignment vertical="center"/>
    </xf>
    <xf numFmtId="0" fontId="13" fillId="4" borderId="1" xfId="0" applyFont="1" applyFill="1" applyBorder="1" applyAlignment="1">
      <alignment vertical="center"/>
    </xf>
    <xf numFmtId="0" fontId="16" fillId="3" borderId="1" xfId="0" applyFont="1" applyFill="1" applyBorder="1" applyAlignment="1">
      <alignment vertical="center"/>
    </xf>
    <xf numFmtId="0" fontId="13" fillId="3" borderId="1" xfId="0" applyFont="1" applyFill="1" applyBorder="1" applyAlignment="1">
      <alignment vertical="center"/>
    </xf>
    <xf numFmtId="0" fontId="16" fillId="4" borderId="1" xfId="0" applyFont="1" applyFill="1" applyBorder="1" applyAlignment="1">
      <alignment vertical="center"/>
    </xf>
    <xf numFmtId="0" fontId="10" fillId="6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1B7A3D"/>
      <rgbColor rgb="FF000080"/>
      <rgbColor rgb="FFB8860B"/>
      <rgbColor rgb="FF800080"/>
      <rgbColor rgb="FF008080"/>
      <rgbColor rgb="FFC0C0C0"/>
      <rgbColor rgb="FF808080"/>
      <rgbColor rgb="FF9999FF"/>
      <rgbColor rgb="FF993366"/>
      <rgbColor rgb="FFF5F5F5"/>
      <rgbColor rgb="FFCCFFFF"/>
      <rgbColor rgb="FF660066"/>
      <rgbColor rgb="FFE8834A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E0E0"/>
      <rgbColor rgb="FF4A90D9"/>
      <rgbColor rgb="FF33CCCC"/>
      <rgbColor rgb="FF99CC00"/>
      <rgbColor rgb="FFFFB347"/>
      <rgbColor rgb="FFFF9900"/>
      <rgbColor rgb="FFCC6600"/>
      <rgbColor rgb="FF666666"/>
      <rgbColor rgb="FF969696"/>
      <rgbColor rgb="FF0E3B42"/>
      <rgbColor rgb="FF339966"/>
      <rgbColor rgb="FF003300"/>
      <rgbColor rgb="FF333300"/>
      <rgbColor rgb="FF993300"/>
      <rgbColor rgb="FF993366"/>
      <rgbColor rgb="FF333399"/>
      <rgbColor rgb="FF1A535E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A535E"/>
  </sheetPr>
  <dimension ref="A1:O31"/>
  <sheetViews>
    <sheetView zoomScaleNormal="100" workbookViewId="0">
      <pane ySplit="1" topLeftCell="A11" activePane="bottomLeft" state="frozen"/>
      <selection pane="bottomLeft"/>
    </sheetView>
  </sheetViews>
  <sheetFormatPr defaultColWidth="8.6328125" defaultRowHeight="14.5" x14ac:dyDescent="0.35"/>
  <cols>
    <col min="1" max="1" width="12" customWidth="1"/>
    <col min="2" max="2" width="38" customWidth="1"/>
    <col min="3" max="3" width="22" customWidth="1"/>
    <col min="4" max="4" width="10" customWidth="1"/>
    <col min="5" max="5" width="13" customWidth="1"/>
    <col min="6" max="6" width="14" customWidth="1"/>
    <col min="7" max="7" width="10" customWidth="1"/>
    <col min="8" max="8" width="18" customWidth="1"/>
    <col min="9" max="9" width="14" customWidth="1"/>
    <col min="10" max="10" width="10" customWidth="1"/>
    <col min="11" max="12" width="12" customWidth="1"/>
    <col min="13" max="13" width="15" customWidth="1"/>
    <col min="14" max="14" width="14" customWidth="1"/>
    <col min="15" max="15" width="40" customWidth="1"/>
  </cols>
  <sheetData>
    <row r="1" spans="1:15" ht="2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5">
      <c r="A2" s="2" t="s">
        <v>15</v>
      </c>
      <c r="B2" s="2" t="s">
        <v>16</v>
      </c>
      <c r="C2" s="2" t="s">
        <v>17</v>
      </c>
      <c r="D2" s="2" t="s">
        <v>18</v>
      </c>
      <c r="E2" s="2">
        <v>5</v>
      </c>
      <c r="F2" s="3" t="s">
        <v>19</v>
      </c>
      <c r="G2" s="4" t="s">
        <v>20</v>
      </c>
      <c r="H2" s="2" t="s">
        <v>21</v>
      </c>
      <c r="I2" s="2" t="s">
        <v>22</v>
      </c>
      <c r="J2" s="2" t="s">
        <v>23</v>
      </c>
      <c r="K2" s="5">
        <v>46146</v>
      </c>
      <c r="L2" s="5">
        <v>46150</v>
      </c>
      <c r="M2" s="2">
        <v>4</v>
      </c>
      <c r="N2" s="2">
        <v>0</v>
      </c>
      <c r="O2" s="2"/>
    </row>
    <row r="3" spans="1:15" x14ac:dyDescent="0.35">
      <c r="A3" s="6" t="s">
        <v>24</v>
      </c>
      <c r="B3" s="6" t="s">
        <v>25</v>
      </c>
      <c r="C3" s="6" t="s">
        <v>17</v>
      </c>
      <c r="D3" s="6" t="s">
        <v>18</v>
      </c>
      <c r="E3" s="6">
        <v>8</v>
      </c>
      <c r="F3" s="7" t="s">
        <v>19</v>
      </c>
      <c r="G3" s="8" t="s">
        <v>20</v>
      </c>
      <c r="H3" s="6" t="s">
        <v>26</v>
      </c>
      <c r="I3" s="6" t="s">
        <v>27</v>
      </c>
      <c r="J3" s="6" t="s">
        <v>28</v>
      </c>
      <c r="K3" s="9">
        <v>46146</v>
      </c>
      <c r="L3" s="9">
        <v>46154</v>
      </c>
      <c r="M3" s="6">
        <v>8</v>
      </c>
      <c r="N3" s="6">
        <v>1</v>
      </c>
      <c r="O3" s="6" t="s">
        <v>29</v>
      </c>
    </row>
    <row r="4" spans="1:15" x14ac:dyDescent="0.35">
      <c r="A4" s="2" t="s">
        <v>30</v>
      </c>
      <c r="B4" s="2" t="s">
        <v>31</v>
      </c>
      <c r="C4" s="2" t="s">
        <v>17</v>
      </c>
      <c r="D4" s="2" t="s">
        <v>18</v>
      </c>
      <c r="E4" s="2">
        <v>3</v>
      </c>
      <c r="F4" s="3" t="s">
        <v>19</v>
      </c>
      <c r="G4" s="10" t="s">
        <v>32</v>
      </c>
      <c r="H4" s="2" t="s">
        <v>21</v>
      </c>
      <c r="I4" s="2" t="s">
        <v>22</v>
      </c>
      <c r="J4" s="2" t="s">
        <v>23</v>
      </c>
      <c r="K4" s="5">
        <v>46149</v>
      </c>
      <c r="L4" s="5">
        <v>46151</v>
      </c>
      <c r="M4" s="2">
        <v>2</v>
      </c>
      <c r="N4" s="2">
        <v>0</v>
      </c>
      <c r="O4" s="2"/>
    </row>
    <row r="5" spans="1:15" x14ac:dyDescent="0.35">
      <c r="A5" s="6" t="s">
        <v>33</v>
      </c>
      <c r="B5" s="6" t="s">
        <v>34</v>
      </c>
      <c r="C5" s="6" t="s">
        <v>17</v>
      </c>
      <c r="D5" s="6" t="s">
        <v>18</v>
      </c>
      <c r="E5" s="6">
        <v>5</v>
      </c>
      <c r="F5" s="7" t="s">
        <v>19</v>
      </c>
      <c r="G5" s="11" t="s">
        <v>32</v>
      </c>
      <c r="H5" s="6" t="s">
        <v>35</v>
      </c>
      <c r="I5" s="6" t="s">
        <v>27</v>
      </c>
      <c r="J5" s="6" t="s">
        <v>28</v>
      </c>
      <c r="K5" s="9">
        <v>46148</v>
      </c>
      <c r="L5" s="9">
        <v>46153</v>
      </c>
      <c r="M5" s="6">
        <v>5</v>
      </c>
      <c r="N5" s="6">
        <v>0</v>
      </c>
      <c r="O5" s="6"/>
    </row>
    <row r="6" spans="1:15" x14ac:dyDescent="0.35">
      <c r="A6" s="2" t="s">
        <v>36</v>
      </c>
      <c r="B6" s="2" t="s">
        <v>37</v>
      </c>
      <c r="C6" s="2" t="s">
        <v>17</v>
      </c>
      <c r="D6" s="2" t="s">
        <v>18</v>
      </c>
      <c r="E6" s="2">
        <v>5</v>
      </c>
      <c r="F6" s="3" t="s">
        <v>19</v>
      </c>
      <c r="G6" s="2" t="s">
        <v>38</v>
      </c>
      <c r="H6" s="2" t="s">
        <v>26</v>
      </c>
      <c r="I6" s="2" t="s">
        <v>27</v>
      </c>
      <c r="J6" s="2" t="s">
        <v>28</v>
      </c>
      <c r="K6" s="5">
        <v>46151</v>
      </c>
      <c r="L6" s="5">
        <v>46155</v>
      </c>
      <c r="M6" s="2">
        <v>4</v>
      </c>
      <c r="N6" s="2">
        <v>0</v>
      </c>
      <c r="O6" s="2"/>
    </row>
    <row r="7" spans="1:15" x14ac:dyDescent="0.35">
      <c r="A7" s="6" t="s">
        <v>39</v>
      </c>
      <c r="B7" s="6" t="s">
        <v>40</v>
      </c>
      <c r="C7" s="6" t="s">
        <v>17</v>
      </c>
      <c r="D7" s="6" t="s">
        <v>18</v>
      </c>
      <c r="E7" s="6">
        <v>3</v>
      </c>
      <c r="F7" s="7" t="s">
        <v>19</v>
      </c>
      <c r="G7" s="6" t="s">
        <v>38</v>
      </c>
      <c r="H7" s="6" t="s">
        <v>35</v>
      </c>
      <c r="I7" s="6" t="s">
        <v>27</v>
      </c>
      <c r="J7" s="6" t="s">
        <v>28</v>
      </c>
      <c r="K7" s="9">
        <v>46152</v>
      </c>
      <c r="L7" s="9">
        <v>46155</v>
      </c>
      <c r="M7" s="6">
        <v>3</v>
      </c>
      <c r="N7" s="6">
        <v>0</v>
      </c>
      <c r="O7" s="6"/>
    </row>
    <row r="8" spans="1:15" x14ac:dyDescent="0.35">
      <c r="A8" s="2" t="s">
        <v>41</v>
      </c>
      <c r="B8" s="2" t="s">
        <v>42</v>
      </c>
      <c r="C8" s="2" t="s">
        <v>43</v>
      </c>
      <c r="D8" s="2" t="s">
        <v>18</v>
      </c>
      <c r="E8" s="2">
        <v>5</v>
      </c>
      <c r="F8" s="3" t="s">
        <v>19</v>
      </c>
      <c r="G8" s="4" t="s">
        <v>20</v>
      </c>
      <c r="H8" s="2" t="s">
        <v>44</v>
      </c>
      <c r="I8" s="2" t="s">
        <v>45</v>
      </c>
      <c r="J8" s="2" t="s">
        <v>46</v>
      </c>
      <c r="K8" s="5">
        <v>46146</v>
      </c>
      <c r="L8" s="5">
        <v>46152</v>
      </c>
      <c r="M8" s="2">
        <v>6</v>
      </c>
      <c r="N8" s="2">
        <v>0</v>
      </c>
      <c r="O8" s="2"/>
    </row>
    <row r="9" spans="1:15" x14ac:dyDescent="0.35">
      <c r="A9" s="6" t="s">
        <v>47</v>
      </c>
      <c r="B9" s="6" t="s">
        <v>48</v>
      </c>
      <c r="C9" s="6" t="s">
        <v>43</v>
      </c>
      <c r="D9" s="6" t="s">
        <v>18</v>
      </c>
      <c r="E9" s="6">
        <v>5</v>
      </c>
      <c r="F9" s="7" t="s">
        <v>19</v>
      </c>
      <c r="G9" s="11" t="s">
        <v>32</v>
      </c>
      <c r="H9" s="6" t="s">
        <v>26</v>
      </c>
      <c r="I9" s="6" t="s">
        <v>27</v>
      </c>
      <c r="J9" s="6" t="s">
        <v>28</v>
      </c>
      <c r="K9" s="9">
        <v>46149</v>
      </c>
      <c r="L9" s="9">
        <v>46154</v>
      </c>
      <c r="M9" s="6">
        <v>5</v>
      </c>
      <c r="N9" s="6">
        <v>2</v>
      </c>
      <c r="O9" s="6" t="s">
        <v>49</v>
      </c>
    </row>
    <row r="10" spans="1:15" x14ac:dyDescent="0.35">
      <c r="A10" s="2" t="s">
        <v>50</v>
      </c>
      <c r="B10" s="2" t="s">
        <v>51</v>
      </c>
      <c r="C10" s="2" t="s">
        <v>43</v>
      </c>
      <c r="D10" s="2" t="s">
        <v>18</v>
      </c>
      <c r="E10" s="2">
        <v>3</v>
      </c>
      <c r="F10" s="3" t="s">
        <v>19</v>
      </c>
      <c r="G10" s="2" t="s">
        <v>38</v>
      </c>
      <c r="H10" s="2" t="s">
        <v>44</v>
      </c>
      <c r="I10" s="2" t="s">
        <v>45</v>
      </c>
      <c r="J10" s="2" t="s">
        <v>46</v>
      </c>
      <c r="K10" s="5">
        <v>46151</v>
      </c>
      <c r="L10" s="5">
        <v>46154</v>
      </c>
      <c r="M10" s="2">
        <v>3</v>
      </c>
      <c r="N10" s="2">
        <v>0</v>
      </c>
      <c r="O10" s="2"/>
    </row>
    <row r="11" spans="1:15" x14ac:dyDescent="0.35">
      <c r="A11" s="6" t="s">
        <v>52</v>
      </c>
      <c r="B11" s="6" t="s">
        <v>53</v>
      </c>
      <c r="C11" s="6" t="s">
        <v>43</v>
      </c>
      <c r="D11" s="6" t="s">
        <v>18</v>
      </c>
      <c r="E11" s="6">
        <v>2</v>
      </c>
      <c r="F11" s="7" t="s">
        <v>19</v>
      </c>
      <c r="G11" s="11" t="s">
        <v>32</v>
      </c>
      <c r="H11" s="6" t="s">
        <v>35</v>
      </c>
      <c r="I11" s="6" t="s">
        <v>27</v>
      </c>
      <c r="J11" s="6" t="s">
        <v>28</v>
      </c>
      <c r="K11" s="9">
        <v>46153</v>
      </c>
      <c r="L11" s="9">
        <v>46155</v>
      </c>
      <c r="M11" s="6">
        <v>2</v>
      </c>
      <c r="N11" s="6">
        <v>0</v>
      </c>
      <c r="O11" s="6"/>
    </row>
    <row r="12" spans="1:15" x14ac:dyDescent="0.35">
      <c r="A12" s="2" t="s">
        <v>54</v>
      </c>
      <c r="B12" s="2" t="s">
        <v>55</v>
      </c>
      <c r="C12" s="2" t="s">
        <v>56</v>
      </c>
      <c r="D12" s="2" t="s">
        <v>57</v>
      </c>
      <c r="E12" s="2">
        <v>8</v>
      </c>
      <c r="F12" s="3" t="s">
        <v>19</v>
      </c>
      <c r="G12" s="4" t="s">
        <v>20</v>
      </c>
      <c r="H12" s="2" t="s">
        <v>26</v>
      </c>
      <c r="I12" s="2" t="s">
        <v>27</v>
      </c>
      <c r="J12" s="2" t="s">
        <v>28</v>
      </c>
      <c r="K12" s="5">
        <v>46160</v>
      </c>
      <c r="L12" s="5">
        <v>46167</v>
      </c>
      <c r="M12" s="2">
        <v>7</v>
      </c>
      <c r="N12" s="2">
        <v>2</v>
      </c>
      <c r="O12" s="2" t="s">
        <v>58</v>
      </c>
    </row>
    <row r="13" spans="1:15" x14ac:dyDescent="0.35">
      <c r="A13" s="6" t="s">
        <v>59</v>
      </c>
      <c r="B13" s="6" t="s">
        <v>60</v>
      </c>
      <c r="C13" s="6" t="s">
        <v>56</v>
      </c>
      <c r="D13" s="6" t="s">
        <v>57</v>
      </c>
      <c r="E13" s="6">
        <v>8</v>
      </c>
      <c r="F13" s="7" t="s">
        <v>19</v>
      </c>
      <c r="G13" s="8" t="s">
        <v>20</v>
      </c>
      <c r="H13" s="6" t="s">
        <v>35</v>
      </c>
      <c r="I13" s="6" t="s">
        <v>27</v>
      </c>
      <c r="J13" s="6" t="s">
        <v>28</v>
      </c>
      <c r="K13" s="9">
        <v>46162</v>
      </c>
      <c r="L13" s="9">
        <v>46169</v>
      </c>
      <c r="M13" s="6">
        <v>7</v>
      </c>
      <c r="N13" s="6">
        <v>0</v>
      </c>
      <c r="O13" s="6"/>
    </row>
    <row r="14" spans="1:15" x14ac:dyDescent="0.35">
      <c r="A14" s="2" t="s">
        <v>61</v>
      </c>
      <c r="B14" s="2" t="s">
        <v>62</v>
      </c>
      <c r="C14" s="2" t="s">
        <v>56</v>
      </c>
      <c r="D14" s="2" t="s">
        <v>57</v>
      </c>
      <c r="E14" s="2">
        <v>3</v>
      </c>
      <c r="F14" s="3" t="s">
        <v>19</v>
      </c>
      <c r="G14" s="10" t="s">
        <v>32</v>
      </c>
      <c r="H14" s="2" t="s">
        <v>26</v>
      </c>
      <c r="I14" s="2" t="s">
        <v>27</v>
      </c>
      <c r="J14" s="2" t="s">
        <v>28</v>
      </c>
      <c r="K14" s="5">
        <v>46166</v>
      </c>
      <c r="L14" s="5">
        <v>46169</v>
      </c>
      <c r="M14" s="2">
        <v>3</v>
      </c>
      <c r="N14" s="2">
        <v>0</v>
      </c>
      <c r="O14" s="2"/>
    </row>
    <row r="15" spans="1:15" x14ac:dyDescent="0.35">
      <c r="A15" s="6" t="s">
        <v>63</v>
      </c>
      <c r="B15" s="6" t="s">
        <v>64</v>
      </c>
      <c r="C15" s="6" t="s">
        <v>56</v>
      </c>
      <c r="D15" s="6" t="s">
        <v>57</v>
      </c>
      <c r="E15" s="6">
        <v>5</v>
      </c>
      <c r="F15" s="12" t="s">
        <v>65</v>
      </c>
      <c r="G15" s="6" t="s">
        <v>38</v>
      </c>
      <c r="H15" s="6" t="s">
        <v>35</v>
      </c>
      <c r="I15" s="6" t="s">
        <v>27</v>
      </c>
      <c r="J15" s="6" t="s">
        <v>28</v>
      </c>
      <c r="K15" s="9">
        <v>46167</v>
      </c>
      <c r="L15" s="6"/>
      <c r="M15" s="6">
        <v>4</v>
      </c>
      <c r="N15" s="6">
        <v>0</v>
      </c>
      <c r="O15" s="6" t="s">
        <v>66</v>
      </c>
    </row>
    <row r="16" spans="1:15" x14ac:dyDescent="0.35">
      <c r="A16" s="2" t="s">
        <v>67</v>
      </c>
      <c r="B16" s="2" t="s">
        <v>68</v>
      </c>
      <c r="C16" s="2" t="s">
        <v>56</v>
      </c>
      <c r="D16" s="2" t="s">
        <v>57</v>
      </c>
      <c r="E16" s="2">
        <v>3</v>
      </c>
      <c r="F16" s="3" t="s">
        <v>19</v>
      </c>
      <c r="G16" s="10" t="s">
        <v>32</v>
      </c>
      <c r="H16" s="2" t="s">
        <v>21</v>
      </c>
      <c r="I16" s="2" t="s">
        <v>22</v>
      </c>
      <c r="J16" s="2" t="s">
        <v>23</v>
      </c>
      <c r="K16" s="5">
        <v>46163</v>
      </c>
      <c r="L16" s="5">
        <v>46166</v>
      </c>
      <c r="M16" s="2">
        <v>3</v>
      </c>
      <c r="N16" s="2">
        <v>0</v>
      </c>
      <c r="O16" s="2"/>
    </row>
    <row r="17" spans="1:15" x14ac:dyDescent="0.35">
      <c r="A17" s="6" t="s">
        <v>69</v>
      </c>
      <c r="B17" s="6" t="s">
        <v>70</v>
      </c>
      <c r="C17" s="6" t="s">
        <v>71</v>
      </c>
      <c r="D17" s="6" t="s">
        <v>57</v>
      </c>
      <c r="E17" s="6">
        <v>5</v>
      </c>
      <c r="F17" s="7" t="s">
        <v>19</v>
      </c>
      <c r="G17" s="11" t="s">
        <v>32</v>
      </c>
      <c r="H17" s="6" t="s">
        <v>21</v>
      </c>
      <c r="I17" s="6" t="s">
        <v>22</v>
      </c>
      <c r="J17" s="6" t="s">
        <v>23</v>
      </c>
      <c r="K17" s="9">
        <v>46160</v>
      </c>
      <c r="L17" s="9">
        <v>46165</v>
      </c>
      <c r="M17" s="6">
        <v>5</v>
      </c>
      <c r="N17" s="6">
        <v>0</v>
      </c>
      <c r="O17" s="6"/>
    </row>
    <row r="18" spans="1:15" x14ac:dyDescent="0.35">
      <c r="A18" s="2" t="s">
        <v>72</v>
      </c>
      <c r="B18" s="2" t="s">
        <v>73</v>
      </c>
      <c r="C18" s="2" t="s">
        <v>71</v>
      </c>
      <c r="D18" s="2" t="s">
        <v>57</v>
      </c>
      <c r="E18" s="2">
        <v>5</v>
      </c>
      <c r="F18" s="3" t="s">
        <v>19</v>
      </c>
      <c r="G18" s="10" t="s">
        <v>32</v>
      </c>
      <c r="H18" s="2" t="s">
        <v>44</v>
      </c>
      <c r="I18" s="2" t="s">
        <v>45</v>
      </c>
      <c r="J18" s="2" t="s">
        <v>46</v>
      </c>
      <c r="K18" s="5">
        <v>46163</v>
      </c>
      <c r="L18" s="5">
        <v>46168</v>
      </c>
      <c r="M18" s="2">
        <v>5</v>
      </c>
      <c r="N18" s="2">
        <v>1</v>
      </c>
      <c r="O18" s="2" t="s">
        <v>74</v>
      </c>
    </row>
    <row r="19" spans="1:15" x14ac:dyDescent="0.35">
      <c r="A19" s="6" t="s">
        <v>75</v>
      </c>
      <c r="B19" s="6" t="s">
        <v>76</v>
      </c>
      <c r="C19" s="6" t="s">
        <v>71</v>
      </c>
      <c r="D19" s="6" t="s">
        <v>57</v>
      </c>
      <c r="E19" s="6">
        <v>2</v>
      </c>
      <c r="F19" s="7" t="s">
        <v>19</v>
      </c>
      <c r="G19" s="6" t="s">
        <v>38</v>
      </c>
      <c r="H19" s="6" t="s">
        <v>21</v>
      </c>
      <c r="I19" s="6" t="s">
        <v>22</v>
      </c>
      <c r="J19" s="6" t="s">
        <v>23</v>
      </c>
      <c r="K19" s="9">
        <v>46166</v>
      </c>
      <c r="L19" s="9">
        <v>46168</v>
      </c>
      <c r="M19" s="6">
        <v>2</v>
      </c>
      <c r="N19" s="6">
        <v>0</v>
      </c>
      <c r="O19" s="6"/>
    </row>
    <row r="20" spans="1:15" x14ac:dyDescent="0.35">
      <c r="A20" s="2" t="s">
        <v>77</v>
      </c>
      <c r="B20" s="2" t="s">
        <v>78</v>
      </c>
      <c r="C20" s="2" t="s">
        <v>71</v>
      </c>
      <c r="D20" s="2" t="s">
        <v>57</v>
      </c>
      <c r="E20" s="2">
        <v>3</v>
      </c>
      <c r="F20" s="4" t="s">
        <v>79</v>
      </c>
      <c r="G20" s="2" t="s">
        <v>38</v>
      </c>
      <c r="H20" s="2" t="s">
        <v>35</v>
      </c>
      <c r="I20" s="2" t="s">
        <v>27</v>
      </c>
      <c r="J20" s="2" t="s">
        <v>28</v>
      </c>
      <c r="K20" s="5">
        <v>46168</v>
      </c>
      <c r="L20" s="2"/>
      <c r="M20" s="2">
        <v>3</v>
      </c>
      <c r="N20" s="2">
        <v>3</v>
      </c>
      <c r="O20" s="2" t="s">
        <v>80</v>
      </c>
    </row>
    <row r="21" spans="1:15" x14ac:dyDescent="0.35">
      <c r="A21" s="6" t="s">
        <v>81</v>
      </c>
      <c r="B21" s="6" t="s">
        <v>82</v>
      </c>
      <c r="C21" s="6" t="s">
        <v>71</v>
      </c>
      <c r="D21" s="6" t="s">
        <v>57</v>
      </c>
      <c r="E21" s="6">
        <v>2</v>
      </c>
      <c r="F21" s="7" t="s">
        <v>19</v>
      </c>
      <c r="G21" s="6" t="s">
        <v>83</v>
      </c>
      <c r="H21" s="6" t="s">
        <v>84</v>
      </c>
      <c r="I21" s="6" t="s">
        <v>85</v>
      </c>
      <c r="J21" s="6" t="s">
        <v>86</v>
      </c>
      <c r="K21" s="9">
        <v>46165</v>
      </c>
      <c r="L21" s="9">
        <v>46168</v>
      </c>
      <c r="M21" s="6">
        <v>3</v>
      </c>
      <c r="N21" s="6">
        <v>0</v>
      </c>
      <c r="O21" s="6"/>
    </row>
    <row r="22" spans="1:15" x14ac:dyDescent="0.35">
      <c r="A22" s="2" t="s">
        <v>87</v>
      </c>
      <c r="B22" s="2" t="s">
        <v>88</v>
      </c>
      <c r="C22" s="2" t="s">
        <v>89</v>
      </c>
      <c r="D22" s="2" t="s">
        <v>90</v>
      </c>
      <c r="E22" s="2">
        <v>3</v>
      </c>
      <c r="F22" s="3" t="s">
        <v>19</v>
      </c>
      <c r="G22" s="4" t="s">
        <v>20</v>
      </c>
      <c r="H22" s="2" t="s">
        <v>84</v>
      </c>
      <c r="I22" s="2" t="s">
        <v>85</v>
      </c>
      <c r="J22" s="2" t="s">
        <v>91</v>
      </c>
      <c r="K22" s="5">
        <v>46174</v>
      </c>
      <c r="L22" s="5">
        <v>46177</v>
      </c>
      <c r="M22" s="2">
        <v>3</v>
      </c>
      <c r="N22" s="2">
        <v>0</v>
      </c>
      <c r="O22" s="2"/>
    </row>
    <row r="23" spans="1:15" x14ac:dyDescent="0.35">
      <c r="A23" s="6" t="s">
        <v>92</v>
      </c>
      <c r="B23" s="6" t="s">
        <v>93</v>
      </c>
      <c r="C23" s="6" t="s">
        <v>89</v>
      </c>
      <c r="D23" s="6" t="s">
        <v>90</v>
      </c>
      <c r="E23" s="6">
        <v>2</v>
      </c>
      <c r="F23" s="7" t="s">
        <v>19</v>
      </c>
      <c r="G23" s="11" t="s">
        <v>32</v>
      </c>
      <c r="H23" s="6" t="s">
        <v>84</v>
      </c>
      <c r="I23" s="6" t="s">
        <v>85</v>
      </c>
      <c r="J23" s="6" t="s">
        <v>91</v>
      </c>
      <c r="K23" s="9">
        <v>46176</v>
      </c>
      <c r="L23" s="9">
        <v>46178</v>
      </c>
      <c r="M23" s="6">
        <v>2</v>
      </c>
      <c r="N23" s="6">
        <v>0</v>
      </c>
      <c r="O23" s="6"/>
    </row>
    <row r="24" spans="1:15" x14ac:dyDescent="0.35">
      <c r="A24" s="2" t="s">
        <v>94</v>
      </c>
      <c r="B24" s="2" t="s">
        <v>95</v>
      </c>
      <c r="C24" s="2" t="s">
        <v>89</v>
      </c>
      <c r="D24" s="2" t="s">
        <v>90</v>
      </c>
      <c r="E24" s="2">
        <v>3</v>
      </c>
      <c r="F24" s="3" t="s">
        <v>19</v>
      </c>
      <c r="G24" s="10" t="s">
        <v>32</v>
      </c>
      <c r="H24" s="2" t="s">
        <v>84</v>
      </c>
      <c r="I24" s="2" t="s">
        <v>85</v>
      </c>
      <c r="J24" s="2" t="s">
        <v>91</v>
      </c>
      <c r="K24" s="5">
        <v>46177</v>
      </c>
      <c r="L24" s="5">
        <v>46181</v>
      </c>
      <c r="M24" s="2">
        <v>4</v>
      </c>
      <c r="N24" s="2">
        <v>0</v>
      </c>
      <c r="O24" s="2"/>
    </row>
    <row r="25" spans="1:15" x14ac:dyDescent="0.35">
      <c r="A25" s="6" t="s">
        <v>96</v>
      </c>
      <c r="B25" s="6" t="s">
        <v>97</v>
      </c>
      <c r="C25" s="6" t="s">
        <v>89</v>
      </c>
      <c r="D25" s="6" t="s">
        <v>90</v>
      </c>
      <c r="E25" s="6">
        <v>5</v>
      </c>
      <c r="F25" s="7" t="s">
        <v>19</v>
      </c>
      <c r="G25" s="8" t="s">
        <v>20</v>
      </c>
      <c r="H25" s="6" t="s">
        <v>21</v>
      </c>
      <c r="I25" s="6" t="s">
        <v>22</v>
      </c>
      <c r="J25" s="6" t="s">
        <v>23</v>
      </c>
      <c r="K25" s="9">
        <v>46174</v>
      </c>
      <c r="L25" s="9">
        <v>46179</v>
      </c>
      <c r="M25" s="6">
        <v>5</v>
      </c>
      <c r="N25" s="6">
        <v>0</v>
      </c>
      <c r="O25" s="6"/>
    </row>
    <row r="26" spans="1:15" x14ac:dyDescent="0.35">
      <c r="A26" s="2" t="s">
        <v>98</v>
      </c>
      <c r="B26" s="2" t="s">
        <v>99</v>
      </c>
      <c r="C26" s="2" t="s">
        <v>89</v>
      </c>
      <c r="D26" s="2" t="s">
        <v>90</v>
      </c>
      <c r="E26" s="2">
        <v>3</v>
      </c>
      <c r="F26" s="3" t="s">
        <v>19</v>
      </c>
      <c r="G26" s="2" t="s">
        <v>38</v>
      </c>
      <c r="H26" s="2" t="s">
        <v>100</v>
      </c>
      <c r="I26" s="2" t="s">
        <v>101</v>
      </c>
      <c r="J26" s="2" t="s">
        <v>102</v>
      </c>
      <c r="K26" s="5">
        <v>46176</v>
      </c>
      <c r="L26" s="5">
        <v>46180</v>
      </c>
      <c r="M26" s="2">
        <v>4</v>
      </c>
      <c r="N26" s="2">
        <v>0</v>
      </c>
      <c r="O26" s="2"/>
    </row>
    <row r="27" spans="1:15" x14ac:dyDescent="0.35">
      <c r="A27" s="6" t="s">
        <v>103</v>
      </c>
      <c r="B27" s="6" t="s">
        <v>104</v>
      </c>
      <c r="C27" s="6" t="s">
        <v>56</v>
      </c>
      <c r="D27" s="6" t="s">
        <v>90</v>
      </c>
      <c r="E27" s="6">
        <v>5</v>
      </c>
      <c r="F27" s="7" t="s">
        <v>19</v>
      </c>
      <c r="G27" s="11" t="s">
        <v>32</v>
      </c>
      <c r="H27" s="6" t="s">
        <v>35</v>
      </c>
      <c r="I27" s="6" t="s">
        <v>27</v>
      </c>
      <c r="J27" s="6" t="s">
        <v>28</v>
      </c>
      <c r="K27" s="9">
        <v>46174</v>
      </c>
      <c r="L27" s="9">
        <v>46178</v>
      </c>
      <c r="M27" s="6">
        <v>4</v>
      </c>
      <c r="N27" s="6">
        <v>0</v>
      </c>
      <c r="O27" s="6" t="s">
        <v>105</v>
      </c>
    </row>
    <row r="28" spans="1:15" x14ac:dyDescent="0.35">
      <c r="A28" s="2" t="s">
        <v>106</v>
      </c>
      <c r="B28" s="2" t="s">
        <v>107</v>
      </c>
      <c r="C28" s="2" t="s">
        <v>71</v>
      </c>
      <c r="D28" s="2" t="s">
        <v>90</v>
      </c>
      <c r="E28" s="2">
        <v>3</v>
      </c>
      <c r="F28" s="3" t="s">
        <v>19</v>
      </c>
      <c r="G28" s="2" t="s">
        <v>38</v>
      </c>
      <c r="H28" s="2" t="s">
        <v>35</v>
      </c>
      <c r="I28" s="2" t="s">
        <v>27</v>
      </c>
      <c r="J28" s="2" t="s">
        <v>28</v>
      </c>
      <c r="K28" s="5">
        <v>46177</v>
      </c>
      <c r="L28" s="5">
        <v>46180</v>
      </c>
      <c r="M28" s="2">
        <v>3</v>
      </c>
      <c r="N28" s="2">
        <v>0</v>
      </c>
      <c r="O28" s="2" t="s">
        <v>108</v>
      </c>
    </row>
    <row r="29" spans="1:15" x14ac:dyDescent="0.35">
      <c r="A29" s="6" t="s">
        <v>109</v>
      </c>
      <c r="B29" s="6" t="s">
        <v>110</v>
      </c>
      <c r="C29" s="6" t="s">
        <v>89</v>
      </c>
      <c r="D29" s="6" t="s">
        <v>90</v>
      </c>
      <c r="E29" s="6">
        <v>8</v>
      </c>
      <c r="F29" s="7" t="s">
        <v>19</v>
      </c>
      <c r="G29" s="8" t="s">
        <v>20</v>
      </c>
      <c r="H29" s="6" t="s">
        <v>100</v>
      </c>
      <c r="I29" s="6" t="s">
        <v>101</v>
      </c>
      <c r="J29" s="6" t="s">
        <v>102</v>
      </c>
      <c r="K29" s="9">
        <v>46174</v>
      </c>
      <c r="L29" s="9">
        <v>46182</v>
      </c>
      <c r="M29" s="6">
        <v>8</v>
      </c>
      <c r="N29" s="6">
        <v>0</v>
      </c>
      <c r="O29" s="6"/>
    </row>
    <row r="30" spans="1:15" x14ac:dyDescent="0.35">
      <c r="A30" s="2" t="s">
        <v>111</v>
      </c>
      <c r="B30" s="2" t="s">
        <v>112</v>
      </c>
      <c r="C30" s="2" t="s">
        <v>89</v>
      </c>
      <c r="D30" s="2" t="s">
        <v>90</v>
      </c>
      <c r="E30" s="2">
        <v>5</v>
      </c>
      <c r="F30" s="13" t="s">
        <v>65</v>
      </c>
      <c r="G30" s="10" t="s">
        <v>32</v>
      </c>
      <c r="H30" s="2" t="s">
        <v>100</v>
      </c>
      <c r="I30" s="2" t="s">
        <v>101</v>
      </c>
      <c r="J30" s="2" t="s">
        <v>102</v>
      </c>
      <c r="K30" s="5">
        <v>46179</v>
      </c>
      <c r="L30" s="2"/>
      <c r="M30" s="2">
        <v>5</v>
      </c>
      <c r="N30" s="2">
        <v>0</v>
      </c>
      <c r="O30" s="2" t="s">
        <v>113</v>
      </c>
    </row>
    <row r="31" spans="1:15" x14ac:dyDescent="0.35">
      <c r="A31" s="6" t="s">
        <v>114</v>
      </c>
      <c r="B31" s="6" t="s">
        <v>115</v>
      </c>
      <c r="C31" s="6" t="s">
        <v>89</v>
      </c>
      <c r="D31" s="6" t="s">
        <v>90</v>
      </c>
      <c r="E31" s="6">
        <v>2</v>
      </c>
      <c r="F31" s="14" t="s">
        <v>116</v>
      </c>
      <c r="G31" s="8" t="s">
        <v>20</v>
      </c>
      <c r="H31" s="6" t="s">
        <v>44</v>
      </c>
      <c r="I31" s="6" t="s">
        <v>45</v>
      </c>
      <c r="J31" s="6" t="s">
        <v>46</v>
      </c>
      <c r="K31" s="6"/>
      <c r="L31" s="6"/>
      <c r="M31" s="6">
        <v>0</v>
      </c>
      <c r="N31" s="6">
        <v>0</v>
      </c>
      <c r="O31" s="6" t="s">
        <v>117</v>
      </c>
    </row>
  </sheetData>
  <autoFilter ref="A1:O31" xr:uid="{00000000-0009-0000-0000-000000000000}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E8834A"/>
  </sheetPr>
  <dimension ref="A1:I22"/>
  <sheetViews>
    <sheetView zoomScaleNormal="100" workbookViewId="0">
      <pane ySplit="1" topLeftCell="A8" activePane="bottomLeft" state="frozen"/>
      <selection pane="bottomLeft"/>
    </sheetView>
  </sheetViews>
  <sheetFormatPr defaultColWidth="8.6328125" defaultRowHeight="14.5" x14ac:dyDescent="0.35"/>
  <cols>
    <col min="1" max="1" width="16" customWidth="1"/>
    <col min="2" max="2" width="22.81640625" customWidth="1"/>
    <col min="3" max="5" width="14" customWidth="1"/>
    <col min="6" max="6" width="12" customWidth="1"/>
    <col min="7" max="8" width="20" customWidth="1"/>
    <col min="9" max="9" width="42" customWidth="1"/>
  </cols>
  <sheetData>
    <row r="1" spans="1:9" ht="28" x14ac:dyDescent="0.35">
      <c r="A1" s="1" t="s">
        <v>118</v>
      </c>
      <c r="B1" s="1" t="s">
        <v>119</v>
      </c>
      <c r="C1" s="1" t="s">
        <v>120</v>
      </c>
      <c r="D1" s="1" t="s">
        <v>121</v>
      </c>
      <c r="E1" s="1" t="s">
        <v>122</v>
      </c>
      <c r="F1" s="1" t="s">
        <v>123</v>
      </c>
      <c r="G1" s="1" t="s">
        <v>124</v>
      </c>
      <c r="H1" s="1" t="s">
        <v>125</v>
      </c>
      <c r="I1" s="1" t="s">
        <v>14</v>
      </c>
    </row>
    <row r="2" spans="1:9" x14ac:dyDescent="0.35">
      <c r="A2" s="2" t="s">
        <v>126</v>
      </c>
      <c r="B2" s="2" t="s">
        <v>127</v>
      </c>
      <c r="C2" s="15">
        <v>15000</v>
      </c>
      <c r="D2" s="15">
        <v>14200</v>
      </c>
      <c r="E2" s="15">
        <f t="shared" ref="E2:E16" si="0">C2-D2</f>
        <v>800</v>
      </c>
      <c r="F2" s="16">
        <f t="shared" ref="F2:F16" si="1">IF(C2=0,0,(C2-D2)/C2)</f>
        <v>5.3333333333333337E-2</v>
      </c>
      <c r="G2" s="15">
        <f>SUM(C$2:C2)</f>
        <v>15000</v>
      </c>
      <c r="H2" s="15">
        <f>SUM(D$2:D2)</f>
        <v>14200</v>
      </c>
      <c r="I2" s="2" t="s">
        <v>128</v>
      </c>
    </row>
    <row r="3" spans="1:9" x14ac:dyDescent="0.35">
      <c r="A3" s="6" t="s">
        <v>126</v>
      </c>
      <c r="B3" s="6" t="s">
        <v>129</v>
      </c>
      <c r="C3" s="17">
        <v>5000</v>
      </c>
      <c r="D3" s="17">
        <v>5800</v>
      </c>
      <c r="E3" s="17">
        <f t="shared" si="0"/>
        <v>-800</v>
      </c>
      <c r="F3" s="18">
        <f t="shared" si="1"/>
        <v>-0.16</v>
      </c>
      <c r="G3" s="17">
        <f>SUM(C$2:C3)</f>
        <v>20000</v>
      </c>
      <c r="H3" s="17">
        <f>SUM(D$2:D3)</f>
        <v>20000</v>
      </c>
      <c r="I3" s="6" t="s">
        <v>130</v>
      </c>
    </row>
    <row r="4" spans="1:9" x14ac:dyDescent="0.35">
      <c r="A4" s="2" t="s">
        <v>126</v>
      </c>
      <c r="B4" s="2" t="s">
        <v>131</v>
      </c>
      <c r="C4" s="15">
        <v>3000</v>
      </c>
      <c r="D4" s="15">
        <v>2400</v>
      </c>
      <c r="E4" s="15">
        <f t="shared" si="0"/>
        <v>600</v>
      </c>
      <c r="F4" s="16">
        <f t="shared" si="1"/>
        <v>0.2</v>
      </c>
      <c r="G4" s="15">
        <f>SUM(C$2:C4)</f>
        <v>23000</v>
      </c>
      <c r="H4" s="15">
        <f>SUM(D$2:D4)</f>
        <v>22400</v>
      </c>
      <c r="I4" s="2" t="s">
        <v>132</v>
      </c>
    </row>
    <row r="5" spans="1:9" x14ac:dyDescent="0.35">
      <c r="A5" s="6" t="s">
        <v>126</v>
      </c>
      <c r="B5" s="6" t="s">
        <v>85</v>
      </c>
      <c r="C5" s="17">
        <v>4000</v>
      </c>
      <c r="D5" s="17">
        <v>3500</v>
      </c>
      <c r="E5" s="17">
        <f t="shared" si="0"/>
        <v>500</v>
      </c>
      <c r="F5" s="18">
        <f t="shared" si="1"/>
        <v>0.125</v>
      </c>
      <c r="G5" s="17">
        <f>SUM(C$2:C5)</f>
        <v>27000</v>
      </c>
      <c r="H5" s="17">
        <f>SUM(D$2:D5)</f>
        <v>25900</v>
      </c>
      <c r="I5" s="6" t="s">
        <v>133</v>
      </c>
    </row>
    <row r="6" spans="1:9" x14ac:dyDescent="0.35">
      <c r="A6" s="2" t="s">
        <v>126</v>
      </c>
      <c r="B6" s="2" t="s">
        <v>134</v>
      </c>
      <c r="C6" s="15">
        <v>2000</v>
      </c>
      <c r="D6" s="15">
        <v>2100</v>
      </c>
      <c r="E6" s="15">
        <f t="shared" si="0"/>
        <v>-100</v>
      </c>
      <c r="F6" s="16">
        <f t="shared" si="1"/>
        <v>-0.05</v>
      </c>
      <c r="G6" s="15">
        <f>SUM(C$2:C6)</f>
        <v>29000</v>
      </c>
      <c r="H6" s="15">
        <f>SUM(D$2:D6)</f>
        <v>28000</v>
      </c>
      <c r="I6" s="2" t="s">
        <v>135</v>
      </c>
    </row>
    <row r="7" spans="1:9" x14ac:dyDescent="0.35">
      <c r="A7" s="6" t="s">
        <v>126</v>
      </c>
      <c r="B7" s="6" t="s">
        <v>136</v>
      </c>
      <c r="C7" s="17">
        <v>1500</v>
      </c>
      <c r="D7" s="17">
        <v>1800</v>
      </c>
      <c r="E7" s="17">
        <f t="shared" si="0"/>
        <v>-300</v>
      </c>
      <c r="F7" s="18">
        <f t="shared" si="1"/>
        <v>-0.2</v>
      </c>
      <c r="G7" s="17">
        <f>SUM(C$2:C7)</f>
        <v>30500</v>
      </c>
      <c r="H7" s="17">
        <f>SUM(D$2:D7)</f>
        <v>29800</v>
      </c>
      <c r="I7" s="6" t="s">
        <v>137</v>
      </c>
    </row>
    <row r="8" spans="1:9" x14ac:dyDescent="0.35">
      <c r="A8" s="2" t="s">
        <v>126</v>
      </c>
      <c r="B8" s="2" t="s">
        <v>138</v>
      </c>
      <c r="C8" s="15">
        <v>2000</v>
      </c>
      <c r="D8" s="15">
        <v>0</v>
      </c>
      <c r="E8" s="15">
        <f t="shared" si="0"/>
        <v>2000</v>
      </c>
      <c r="F8" s="16">
        <f t="shared" si="1"/>
        <v>1</v>
      </c>
      <c r="G8" s="15">
        <f>SUM(C$2:C8)</f>
        <v>32500</v>
      </c>
      <c r="H8" s="15">
        <f>SUM(D$2:D8)</f>
        <v>29800</v>
      </c>
      <c r="I8" s="2" t="s">
        <v>139</v>
      </c>
    </row>
    <row r="9" spans="1:9" x14ac:dyDescent="0.35">
      <c r="A9" s="6" t="s">
        <v>140</v>
      </c>
      <c r="B9" s="6" t="s">
        <v>127</v>
      </c>
      <c r="C9" s="17">
        <v>15000</v>
      </c>
      <c r="D9" s="17">
        <v>16100</v>
      </c>
      <c r="E9" s="17">
        <f t="shared" si="0"/>
        <v>-1100</v>
      </c>
      <c r="F9" s="18">
        <f t="shared" si="1"/>
        <v>-7.3333333333333334E-2</v>
      </c>
      <c r="G9" s="17">
        <f>SUM(C$2:C9)</f>
        <v>47500</v>
      </c>
      <c r="H9" s="17">
        <f>SUM(D$2:D9)</f>
        <v>45900</v>
      </c>
      <c r="I9" s="6" t="s">
        <v>141</v>
      </c>
    </row>
    <row r="10" spans="1:9" x14ac:dyDescent="0.35">
      <c r="A10" s="2" t="s">
        <v>140</v>
      </c>
      <c r="B10" s="2" t="s">
        <v>129</v>
      </c>
      <c r="C10" s="15">
        <v>5000</v>
      </c>
      <c r="D10" s="15">
        <v>4200</v>
      </c>
      <c r="E10" s="15">
        <f t="shared" si="0"/>
        <v>800</v>
      </c>
      <c r="F10" s="16">
        <f t="shared" si="1"/>
        <v>0.16</v>
      </c>
      <c r="G10" s="15">
        <f>SUM(C$2:C10)</f>
        <v>52500</v>
      </c>
      <c r="H10" s="15">
        <f>SUM(D$2:D10)</f>
        <v>50100</v>
      </c>
      <c r="I10" s="2" t="s">
        <v>142</v>
      </c>
    </row>
    <row r="11" spans="1:9" x14ac:dyDescent="0.35">
      <c r="A11" s="6" t="s">
        <v>140</v>
      </c>
      <c r="B11" s="6" t="s">
        <v>131</v>
      </c>
      <c r="C11" s="17">
        <v>5000</v>
      </c>
      <c r="D11" s="17">
        <v>5500</v>
      </c>
      <c r="E11" s="17">
        <f t="shared" si="0"/>
        <v>-500</v>
      </c>
      <c r="F11" s="18">
        <f t="shared" si="1"/>
        <v>-0.1</v>
      </c>
      <c r="G11" s="17">
        <f>SUM(C$2:C11)</f>
        <v>57500</v>
      </c>
      <c r="H11" s="17">
        <f>SUM(D$2:D11)</f>
        <v>55600</v>
      </c>
      <c r="I11" s="6" t="s">
        <v>143</v>
      </c>
    </row>
    <row r="12" spans="1:9" x14ac:dyDescent="0.35">
      <c r="A12" s="2" t="s">
        <v>140</v>
      </c>
      <c r="B12" s="2" t="s">
        <v>85</v>
      </c>
      <c r="C12" s="15">
        <v>8000</v>
      </c>
      <c r="D12" s="15">
        <v>7200</v>
      </c>
      <c r="E12" s="15">
        <f t="shared" si="0"/>
        <v>800</v>
      </c>
      <c r="F12" s="16">
        <f t="shared" si="1"/>
        <v>0.1</v>
      </c>
      <c r="G12" s="15">
        <f>SUM(C$2:C12)</f>
        <v>65500</v>
      </c>
      <c r="H12" s="15">
        <f>SUM(D$2:D12)</f>
        <v>62800</v>
      </c>
      <c r="I12" s="2" t="s">
        <v>144</v>
      </c>
    </row>
    <row r="13" spans="1:9" x14ac:dyDescent="0.35">
      <c r="A13" s="6" t="s">
        <v>140</v>
      </c>
      <c r="B13" s="6" t="s">
        <v>134</v>
      </c>
      <c r="C13" s="17">
        <v>2500</v>
      </c>
      <c r="D13" s="17">
        <v>3100</v>
      </c>
      <c r="E13" s="17">
        <f t="shared" si="0"/>
        <v>-600</v>
      </c>
      <c r="F13" s="18">
        <f t="shared" si="1"/>
        <v>-0.24</v>
      </c>
      <c r="G13" s="17">
        <f>SUM(C$2:C13)</f>
        <v>68000</v>
      </c>
      <c r="H13" s="17">
        <f>SUM(D$2:D13)</f>
        <v>65900</v>
      </c>
      <c r="I13" s="6" t="s">
        <v>145</v>
      </c>
    </row>
    <row r="14" spans="1:9" x14ac:dyDescent="0.35">
      <c r="A14" s="2" t="s">
        <v>140</v>
      </c>
      <c r="B14" s="2" t="s">
        <v>136</v>
      </c>
      <c r="C14" s="15">
        <v>1000</v>
      </c>
      <c r="D14" s="15">
        <v>950</v>
      </c>
      <c r="E14" s="15">
        <f t="shared" si="0"/>
        <v>50</v>
      </c>
      <c r="F14" s="16">
        <f t="shared" si="1"/>
        <v>0.05</v>
      </c>
      <c r="G14" s="15">
        <f>SUM(C$2:C14)</f>
        <v>69000</v>
      </c>
      <c r="H14" s="15">
        <f>SUM(D$2:D14)</f>
        <v>66850</v>
      </c>
      <c r="I14" s="2" t="s">
        <v>146</v>
      </c>
    </row>
    <row r="15" spans="1:9" x14ac:dyDescent="0.35">
      <c r="A15" s="6" t="s">
        <v>140</v>
      </c>
      <c r="B15" s="6" t="s">
        <v>138</v>
      </c>
      <c r="C15" s="17">
        <v>2000</v>
      </c>
      <c r="D15" s="17">
        <v>1500</v>
      </c>
      <c r="E15" s="17">
        <f t="shared" si="0"/>
        <v>500</v>
      </c>
      <c r="F15" s="18">
        <f t="shared" si="1"/>
        <v>0.25</v>
      </c>
      <c r="G15" s="17">
        <f>SUM(C$2:C15)</f>
        <v>71000</v>
      </c>
      <c r="H15" s="17">
        <f>SUM(D$2:D15)</f>
        <v>68350</v>
      </c>
      <c r="I15" s="6" t="s">
        <v>147</v>
      </c>
    </row>
    <row r="16" spans="1:9" x14ac:dyDescent="0.35">
      <c r="A16" s="19" t="s">
        <v>148</v>
      </c>
      <c r="C16" s="20">
        <f>SUM(C2:C15)</f>
        <v>71000</v>
      </c>
      <c r="D16" s="20">
        <f>SUM(D2:D15)</f>
        <v>68350</v>
      </c>
      <c r="E16" s="20">
        <f t="shared" si="0"/>
        <v>2650</v>
      </c>
      <c r="F16" s="21">
        <f t="shared" si="1"/>
        <v>3.732394366197183E-2</v>
      </c>
    </row>
    <row r="18" spans="1:2" ht="15.5" x14ac:dyDescent="0.35">
      <c r="A18" s="22" t="s">
        <v>149</v>
      </c>
    </row>
    <row r="19" spans="1:2" x14ac:dyDescent="0.35">
      <c r="A19" s="19" t="s">
        <v>150</v>
      </c>
      <c r="B19" s="23">
        <f>C16</f>
        <v>71000</v>
      </c>
    </row>
    <row r="20" spans="1:2" x14ac:dyDescent="0.35">
      <c r="A20" s="19" t="s">
        <v>151</v>
      </c>
      <c r="B20" s="23">
        <f>D16</f>
        <v>68350</v>
      </c>
    </row>
    <row r="21" spans="1:2" x14ac:dyDescent="0.35">
      <c r="A21" s="19" t="s">
        <v>152</v>
      </c>
      <c r="B21" s="23">
        <f>E16</f>
        <v>2650</v>
      </c>
    </row>
    <row r="22" spans="1:2" x14ac:dyDescent="0.35">
      <c r="A22" s="19" t="s">
        <v>153</v>
      </c>
      <c r="B22" t="str">
        <f>IF(E16&gt;0,"Under Budget","Over Budget")</f>
        <v>Under Budget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CC0000"/>
  </sheetPr>
  <dimension ref="A1:J11"/>
  <sheetViews>
    <sheetView zoomScaleNormal="10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1" width="10" customWidth="1"/>
    <col min="2" max="2" width="42" customWidth="1"/>
    <col min="3" max="3" width="12" customWidth="1"/>
    <col min="4" max="4" width="16" customWidth="1"/>
    <col min="5" max="5" width="14" customWidth="1"/>
    <col min="6" max="7" width="12" customWidth="1"/>
    <col min="8" max="8" width="16" customWidth="1"/>
    <col min="9" max="9" width="52" customWidth="1"/>
    <col min="10" max="10" width="14" customWidth="1"/>
  </cols>
  <sheetData>
    <row r="1" spans="1:10" x14ac:dyDescent="0.35">
      <c r="A1" s="1" t="s">
        <v>154</v>
      </c>
      <c r="B1" s="1" t="s">
        <v>155</v>
      </c>
      <c r="C1" s="1" t="s">
        <v>119</v>
      </c>
      <c r="D1" s="1" t="s">
        <v>156</v>
      </c>
      <c r="E1" s="1" t="s">
        <v>157</v>
      </c>
      <c r="F1" s="1" t="s">
        <v>158</v>
      </c>
      <c r="G1" s="1" t="s">
        <v>5</v>
      </c>
      <c r="H1" s="1" t="s">
        <v>159</v>
      </c>
      <c r="I1" s="1" t="s">
        <v>160</v>
      </c>
      <c r="J1" s="1" t="s">
        <v>161</v>
      </c>
    </row>
    <row r="2" spans="1:10" x14ac:dyDescent="0.35">
      <c r="A2" s="2" t="s">
        <v>162</v>
      </c>
      <c r="B2" s="2" t="s">
        <v>163</v>
      </c>
      <c r="C2" s="2" t="s">
        <v>164</v>
      </c>
      <c r="D2" s="2">
        <v>4</v>
      </c>
      <c r="E2" s="2">
        <v>5</v>
      </c>
      <c r="F2" s="2">
        <f t="shared" ref="F2:F11" si="0">D2*E2</f>
        <v>20</v>
      </c>
      <c r="G2" s="4" t="s">
        <v>165</v>
      </c>
      <c r="H2" s="2" t="s">
        <v>26</v>
      </c>
      <c r="I2" s="2" t="s">
        <v>166</v>
      </c>
      <c r="J2" s="5">
        <v>46162</v>
      </c>
    </row>
    <row r="3" spans="1:10" x14ac:dyDescent="0.35">
      <c r="A3" s="6" t="s">
        <v>167</v>
      </c>
      <c r="B3" s="6" t="s">
        <v>168</v>
      </c>
      <c r="C3" s="6" t="s">
        <v>169</v>
      </c>
      <c r="D3" s="6">
        <v>3</v>
      </c>
      <c r="E3" s="6">
        <v>4</v>
      </c>
      <c r="F3" s="6">
        <f t="shared" si="0"/>
        <v>12</v>
      </c>
      <c r="G3" s="7" t="s">
        <v>170</v>
      </c>
      <c r="H3" s="6" t="s">
        <v>44</v>
      </c>
      <c r="I3" s="6" t="s">
        <v>171</v>
      </c>
      <c r="J3" s="9">
        <v>46170</v>
      </c>
    </row>
    <row r="4" spans="1:10" x14ac:dyDescent="0.35">
      <c r="A4" s="2" t="s">
        <v>172</v>
      </c>
      <c r="B4" s="2" t="s">
        <v>173</v>
      </c>
      <c r="C4" s="2" t="s">
        <v>174</v>
      </c>
      <c r="D4" s="2">
        <v>2</v>
      </c>
      <c r="E4" s="2">
        <v>5</v>
      </c>
      <c r="F4" s="2">
        <f t="shared" si="0"/>
        <v>10</v>
      </c>
      <c r="G4" s="13" t="s">
        <v>175</v>
      </c>
      <c r="H4" s="2" t="s">
        <v>84</v>
      </c>
      <c r="I4" s="2" t="s">
        <v>176</v>
      </c>
      <c r="J4" s="5">
        <v>46178</v>
      </c>
    </row>
    <row r="5" spans="1:10" x14ac:dyDescent="0.35">
      <c r="A5" s="6" t="s">
        <v>177</v>
      </c>
      <c r="B5" s="6" t="s">
        <v>178</v>
      </c>
      <c r="C5" s="6" t="s">
        <v>179</v>
      </c>
      <c r="D5" s="6">
        <v>3</v>
      </c>
      <c r="E5" s="6">
        <v>5</v>
      </c>
      <c r="F5" s="6">
        <f t="shared" si="0"/>
        <v>15</v>
      </c>
      <c r="G5" s="8" t="s">
        <v>165</v>
      </c>
      <c r="H5" s="6" t="s">
        <v>35</v>
      </c>
      <c r="I5" s="6" t="s">
        <v>180</v>
      </c>
      <c r="J5" s="9">
        <v>46164</v>
      </c>
    </row>
    <row r="6" spans="1:10" x14ac:dyDescent="0.35">
      <c r="A6" s="2" t="s">
        <v>181</v>
      </c>
      <c r="B6" s="2" t="s">
        <v>182</v>
      </c>
      <c r="C6" s="2" t="s">
        <v>183</v>
      </c>
      <c r="D6" s="2">
        <v>2</v>
      </c>
      <c r="E6" s="2">
        <v>4</v>
      </c>
      <c r="F6" s="2">
        <f t="shared" si="0"/>
        <v>8</v>
      </c>
      <c r="G6" s="13" t="s">
        <v>175</v>
      </c>
      <c r="H6" s="2" t="s">
        <v>184</v>
      </c>
      <c r="I6" s="2" t="s">
        <v>185</v>
      </c>
      <c r="J6" s="5">
        <v>46157</v>
      </c>
    </row>
    <row r="7" spans="1:10" x14ac:dyDescent="0.35">
      <c r="A7" s="6" t="s">
        <v>186</v>
      </c>
      <c r="B7" s="6" t="s">
        <v>187</v>
      </c>
      <c r="C7" s="6" t="s">
        <v>188</v>
      </c>
      <c r="D7" s="6">
        <v>3</v>
      </c>
      <c r="E7" s="6">
        <v>3</v>
      </c>
      <c r="F7" s="6">
        <f t="shared" si="0"/>
        <v>9</v>
      </c>
      <c r="G7" s="8" t="s">
        <v>165</v>
      </c>
      <c r="H7" s="6" t="s">
        <v>35</v>
      </c>
      <c r="I7" s="6" t="s">
        <v>189</v>
      </c>
      <c r="J7" s="9">
        <v>46176</v>
      </c>
    </row>
    <row r="8" spans="1:10" x14ac:dyDescent="0.35">
      <c r="A8" s="2" t="s">
        <v>190</v>
      </c>
      <c r="B8" s="2" t="s">
        <v>191</v>
      </c>
      <c r="C8" s="2" t="s">
        <v>192</v>
      </c>
      <c r="D8" s="2">
        <v>2</v>
      </c>
      <c r="E8" s="2">
        <v>3</v>
      </c>
      <c r="F8" s="2">
        <f t="shared" si="0"/>
        <v>6</v>
      </c>
      <c r="G8" s="2" t="s">
        <v>193</v>
      </c>
      <c r="H8" s="2" t="s">
        <v>84</v>
      </c>
      <c r="I8" s="2" t="s">
        <v>194</v>
      </c>
      <c r="J8" s="5">
        <v>46152</v>
      </c>
    </row>
    <row r="9" spans="1:10" x14ac:dyDescent="0.35">
      <c r="A9" s="6" t="s">
        <v>195</v>
      </c>
      <c r="B9" s="6" t="s">
        <v>196</v>
      </c>
      <c r="C9" s="6" t="s">
        <v>197</v>
      </c>
      <c r="D9" s="6">
        <v>3</v>
      </c>
      <c r="E9" s="6">
        <v>4</v>
      </c>
      <c r="F9" s="6">
        <f t="shared" si="0"/>
        <v>12</v>
      </c>
      <c r="G9" s="12" t="s">
        <v>175</v>
      </c>
      <c r="H9" s="6" t="s">
        <v>84</v>
      </c>
      <c r="I9" s="6" t="s">
        <v>198</v>
      </c>
      <c r="J9" s="9">
        <v>46181</v>
      </c>
    </row>
    <row r="10" spans="1:10" x14ac:dyDescent="0.35">
      <c r="A10" s="2" t="s">
        <v>199</v>
      </c>
      <c r="B10" s="2" t="s">
        <v>200</v>
      </c>
      <c r="C10" s="2" t="s">
        <v>164</v>
      </c>
      <c r="D10" s="2">
        <v>4</v>
      </c>
      <c r="E10" s="2">
        <v>4</v>
      </c>
      <c r="F10" s="2">
        <f t="shared" si="0"/>
        <v>16</v>
      </c>
      <c r="G10" s="4" t="s">
        <v>165</v>
      </c>
      <c r="H10" s="2" t="s">
        <v>100</v>
      </c>
      <c r="I10" s="2" t="s">
        <v>201</v>
      </c>
      <c r="J10" s="5">
        <v>46183</v>
      </c>
    </row>
    <row r="11" spans="1:10" x14ac:dyDescent="0.35">
      <c r="A11" s="6" t="s">
        <v>202</v>
      </c>
      <c r="B11" s="6" t="s">
        <v>203</v>
      </c>
      <c r="C11" s="6" t="s">
        <v>164</v>
      </c>
      <c r="D11" s="6">
        <v>2</v>
      </c>
      <c r="E11" s="6">
        <v>2</v>
      </c>
      <c r="F11" s="6">
        <f t="shared" si="0"/>
        <v>4</v>
      </c>
      <c r="G11" s="7" t="s">
        <v>170</v>
      </c>
      <c r="H11" s="6" t="s">
        <v>21</v>
      </c>
      <c r="I11" s="6" t="s">
        <v>204</v>
      </c>
      <c r="J11" s="9">
        <v>46172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B347"/>
  </sheetPr>
  <dimension ref="A1:L15"/>
  <sheetViews>
    <sheetView tabSelected="1" zoomScaleNormal="100" workbookViewId="0">
      <pane ySplit="1" topLeftCell="A2" activePane="bottomLeft" state="frozen"/>
      <selection pane="bottomLeft" sqref="A1:J1"/>
    </sheetView>
  </sheetViews>
  <sheetFormatPr defaultColWidth="8.6328125" defaultRowHeight="15.5" x14ac:dyDescent="0.35"/>
  <cols>
    <col min="1" max="1" width="10" style="25" customWidth="1"/>
    <col min="2" max="2" width="44" style="25" customWidth="1"/>
    <col min="3" max="3" width="22" style="25" customWidth="1"/>
    <col min="4" max="4" width="10" style="25" customWidth="1"/>
    <col min="5" max="6" width="14" style="25" customWidth="1"/>
    <col min="7" max="7" width="16" style="25" customWidth="1"/>
    <col min="8" max="9" width="14" style="25" customWidth="1"/>
    <col min="10" max="10" width="10" style="25" customWidth="1"/>
    <col min="11" max="11" width="14" style="25" customWidth="1"/>
    <col min="12" max="12" width="18" style="25" customWidth="1"/>
    <col min="13" max="16384" width="8.6328125" style="25"/>
  </cols>
  <sheetData>
    <row r="1" spans="1:12" ht="30" x14ac:dyDescent="0.35">
      <c r="A1" s="39" t="s">
        <v>205</v>
      </c>
      <c r="B1" s="39" t="s">
        <v>206</v>
      </c>
      <c r="C1" s="39" t="s">
        <v>207</v>
      </c>
      <c r="D1" s="39" t="s">
        <v>208</v>
      </c>
      <c r="E1" s="39" t="s">
        <v>5</v>
      </c>
      <c r="F1" s="39" t="s">
        <v>209</v>
      </c>
      <c r="G1" s="39" t="s">
        <v>210</v>
      </c>
      <c r="H1" s="39" t="s">
        <v>211</v>
      </c>
      <c r="I1" s="39" t="s">
        <v>212</v>
      </c>
      <c r="J1" s="39" t="s">
        <v>213</v>
      </c>
      <c r="K1" s="24" t="s">
        <v>214</v>
      </c>
      <c r="L1" s="24" t="s">
        <v>215</v>
      </c>
    </row>
    <row r="2" spans="1:12" x14ac:dyDescent="0.35">
      <c r="A2" s="26" t="s">
        <v>216</v>
      </c>
      <c r="B2" s="26" t="s">
        <v>217</v>
      </c>
      <c r="C2" s="26" t="s">
        <v>56</v>
      </c>
      <c r="D2" s="27" t="s">
        <v>218</v>
      </c>
      <c r="E2" s="28" t="s">
        <v>219</v>
      </c>
      <c r="F2" s="26" t="s">
        <v>100</v>
      </c>
      <c r="G2" s="26" t="s">
        <v>21</v>
      </c>
      <c r="H2" s="29">
        <v>46164</v>
      </c>
      <c r="I2" s="29">
        <v>46166</v>
      </c>
      <c r="J2" s="26">
        <f t="shared" ref="J2:J8" si="0">I2-H2</f>
        <v>2</v>
      </c>
      <c r="K2" s="26" t="s">
        <v>57</v>
      </c>
      <c r="L2" s="26" t="s">
        <v>220</v>
      </c>
    </row>
    <row r="3" spans="1:12" x14ac:dyDescent="0.35">
      <c r="A3" s="30" t="s">
        <v>221</v>
      </c>
      <c r="B3" s="30" t="s">
        <v>222</v>
      </c>
      <c r="C3" s="30" t="s">
        <v>17</v>
      </c>
      <c r="D3" s="31" t="s">
        <v>223</v>
      </c>
      <c r="E3" s="32" t="s">
        <v>219</v>
      </c>
      <c r="F3" s="30" t="s">
        <v>100</v>
      </c>
      <c r="G3" s="30" t="s">
        <v>26</v>
      </c>
      <c r="H3" s="33">
        <v>46154</v>
      </c>
      <c r="I3" s="33">
        <v>46156</v>
      </c>
      <c r="J3" s="30">
        <f t="shared" si="0"/>
        <v>2</v>
      </c>
      <c r="K3" s="30" t="s">
        <v>18</v>
      </c>
      <c r="L3" s="30" t="s">
        <v>224</v>
      </c>
    </row>
    <row r="4" spans="1:12" x14ac:dyDescent="0.35">
      <c r="A4" s="26" t="s">
        <v>225</v>
      </c>
      <c r="B4" s="26" t="s">
        <v>226</v>
      </c>
      <c r="C4" s="26" t="s">
        <v>71</v>
      </c>
      <c r="D4" s="34" t="s">
        <v>223</v>
      </c>
      <c r="E4" s="28" t="s">
        <v>219</v>
      </c>
      <c r="F4" s="26" t="s">
        <v>44</v>
      </c>
      <c r="G4" s="26" t="s">
        <v>35</v>
      </c>
      <c r="H4" s="29">
        <v>46168</v>
      </c>
      <c r="I4" s="29">
        <v>46170</v>
      </c>
      <c r="J4" s="26">
        <f t="shared" si="0"/>
        <v>2</v>
      </c>
      <c r="K4" s="26" t="s">
        <v>57</v>
      </c>
      <c r="L4" s="26" t="s">
        <v>227</v>
      </c>
    </row>
    <row r="5" spans="1:12" x14ac:dyDescent="0.35">
      <c r="A5" s="30" t="s">
        <v>228</v>
      </c>
      <c r="B5" s="30" t="s">
        <v>229</v>
      </c>
      <c r="C5" s="30" t="s">
        <v>43</v>
      </c>
      <c r="D5" s="30" t="s">
        <v>230</v>
      </c>
      <c r="E5" s="32" t="s">
        <v>219</v>
      </c>
      <c r="F5" s="30" t="s">
        <v>84</v>
      </c>
      <c r="G5" s="30" t="s">
        <v>26</v>
      </c>
      <c r="H5" s="33">
        <v>46152</v>
      </c>
      <c r="I5" s="33">
        <v>46153</v>
      </c>
      <c r="J5" s="30">
        <f t="shared" si="0"/>
        <v>1</v>
      </c>
      <c r="K5" s="30" t="s">
        <v>18</v>
      </c>
      <c r="L5" s="30" t="s">
        <v>231</v>
      </c>
    </row>
    <row r="6" spans="1:12" x14ac:dyDescent="0.35">
      <c r="A6" s="26" t="s">
        <v>232</v>
      </c>
      <c r="B6" s="26" t="s">
        <v>233</v>
      </c>
      <c r="C6" s="26" t="s">
        <v>56</v>
      </c>
      <c r="D6" s="27" t="s">
        <v>218</v>
      </c>
      <c r="E6" s="28" t="s">
        <v>219</v>
      </c>
      <c r="F6" s="26" t="s">
        <v>35</v>
      </c>
      <c r="G6" s="26" t="s">
        <v>26</v>
      </c>
      <c r="H6" s="29">
        <v>46167</v>
      </c>
      <c r="I6" s="29">
        <v>46171</v>
      </c>
      <c r="J6" s="26">
        <f t="shared" si="0"/>
        <v>4</v>
      </c>
      <c r="K6" s="26" t="s">
        <v>57</v>
      </c>
      <c r="L6" s="26" t="s">
        <v>234</v>
      </c>
    </row>
    <row r="7" spans="1:12" x14ac:dyDescent="0.35">
      <c r="A7" s="30" t="s">
        <v>235</v>
      </c>
      <c r="B7" s="30" t="s">
        <v>236</v>
      </c>
      <c r="C7" s="30" t="s">
        <v>17</v>
      </c>
      <c r="D7" s="30" t="s">
        <v>230</v>
      </c>
      <c r="E7" s="32" t="s">
        <v>219</v>
      </c>
      <c r="F7" s="30" t="s">
        <v>100</v>
      </c>
      <c r="G7" s="30" t="s">
        <v>21</v>
      </c>
      <c r="H7" s="33">
        <v>46156</v>
      </c>
      <c r="I7" s="33">
        <v>46157</v>
      </c>
      <c r="J7" s="30">
        <f t="shared" si="0"/>
        <v>1</v>
      </c>
      <c r="K7" s="30" t="s">
        <v>18</v>
      </c>
      <c r="L7" s="30" t="s">
        <v>237</v>
      </c>
    </row>
    <row r="8" spans="1:12" x14ac:dyDescent="0.35">
      <c r="A8" s="26" t="s">
        <v>238</v>
      </c>
      <c r="B8" s="26" t="s">
        <v>239</v>
      </c>
      <c r="C8" s="26" t="s">
        <v>56</v>
      </c>
      <c r="D8" s="34" t="s">
        <v>223</v>
      </c>
      <c r="E8" s="28" t="s">
        <v>219</v>
      </c>
      <c r="F8" s="26" t="s">
        <v>100</v>
      </c>
      <c r="G8" s="26" t="s">
        <v>35</v>
      </c>
      <c r="H8" s="29">
        <v>46170</v>
      </c>
      <c r="I8" s="29">
        <v>46175</v>
      </c>
      <c r="J8" s="26">
        <f t="shared" si="0"/>
        <v>5</v>
      </c>
      <c r="K8" s="26" t="s">
        <v>57</v>
      </c>
      <c r="L8" s="26" t="s">
        <v>240</v>
      </c>
    </row>
    <row r="9" spans="1:12" x14ac:dyDescent="0.35">
      <c r="A9" s="30" t="s">
        <v>241</v>
      </c>
      <c r="B9" s="30" t="s">
        <v>242</v>
      </c>
      <c r="C9" s="30" t="s">
        <v>71</v>
      </c>
      <c r="D9" s="31" t="s">
        <v>223</v>
      </c>
      <c r="E9" s="35" t="s">
        <v>243</v>
      </c>
      <c r="F9" s="30" t="s">
        <v>44</v>
      </c>
      <c r="G9" s="30" t="s">
        <v>21</v>
      </c>
      <c r="H9" s="33">
        <v>46176</v>
      </c>
      <c r="I9" s="30"/>
      <c r="J9" s="30">
        <f ca="1">TODAY()-H9</f>
        <v>-32</v>
      </c>
      <c r="K9" s="30" t="s">
        <v>90</v>
      </c>
      <c r="L9" s="30" t="s">
        <v>244</v>
      </c>
    </row>
    <row r="10" spans="1:12" x14ac:dyDescent="0.35">
      <c r="A10" s="26" t="s">
        <v>245</v>
      </c>
      <c r="B10" s="26" t="s">
        <v>246</v>
      </c>
      <c r="C10" s="26" t="s">
        <v>17</v>
      </c>
      <c r="D10" s="34" t="s">
        <v>223</v>
      </c>
      <c r="E10" s="36" t="s">
        <v>65</v>
      </c>
      <c r="F10" s="26" t="s">
        <v>100</v>
      </c>
      <c r="G10" s="26" t="s">
        <v>35</v>
      </c>
      <c r="H10" s="29">
        <v>46178</v>
      </c>
      <c r="I10" s="26"/>
      <c r="J10" s="26">
        <f ca="1">TODAY()-H10</f>
        <v>-34</v>
      </c>
      <c r="K10" s="26" t="s">
        <v>90</v>
      </c>
      <c r="L10" s="26" t="s">
        <v>234</v>
      </c>
    </row>
    <row r="11" spans="1:12" x14ac:dyDescent="0.35">
      <c r="A11" s="30" t="s">
        <v>247</v>
      </c>
      <c r="B11" s="30" t="s">
        <v>248</v>
      </c>
      <c r="C11" s="30" t="s">
        <v>17</v>
      </c>
      <c r="D11" s="30" t="s">
        <v>230</v>
      </c>
      <c r="E11" s="35" t="s">
        <v>243</v>
      </c>
      <c r="F11" s="30" t="s">
        <v>84</v>
      </c>
      <c r="G11" s="30" t="s">
        <v>26</v>
      </c>
      <c r="H11" s="33">
        <v>46181</v>
      </c>
      <c r="I11" s="30"/>
      <c r="J11" s="30">
        <f ca="1">TODAY()-H11</f>
        <v>-37</v>
      </c>
      <c r="K11" s="30" t="s">
        <v>90</v>
      </c>
      <c r="L11" s="30" t="s">
        <v>249</v>
      </c>
    </row>
    <row r="12" spans="1:12" x14ac:dyDescent="0.35">
      <c r="A12" s="26" t="s">
        <v>250</v>
      </c>
      <c r="B12" s="26" t="s">
        <v>251</v>
      </c>
      <c r="C12" s="26" t="s">
        <v>17</v>
      </c>
      <c r="D12" s="34" t="s">
        <v>223</v>
      </c>
      <c r="E12" s="36" t="s">
        <v>65</v>
      </c>
      <c r="F12" s="26" t="s">
        <v>100</v>
      </c>
      <c r="G12" s="26" t="s">
        <v>26</v>
      </c>
      <c r="H12" s="29">
        <v>46179</v>
      </c>
      <c r="I12" s="26"/>
      <c r="J12" s="26">
        <f ca="1">TODAY()-H12</f>
        <v>-35</v>
      </c>
      <c r="K12" s="26" t="s">
        <v>90</v>
      </c>
      <c r="L12" s="26" t="s">
        <v>237</v>
      </c>
    </row>
    <row r="13" spans="1:12" x14ac:dyDescent="0.35">
      <c r="A13" s="30" t="s">
        <v>252</v>
      </c>
      <c r="B13" s="30" t="s">
        <v>253</v>
      </c>
      <c r="C13" s="30" t="s">
        <v>43</v>
      </c>
      <c r="D13" s="30" t="s">
        <v>230</v>
      </c>
      <c r="E13" s="32" t="s">
        <v>219</v>
      </c>
      <c r="F13" s="30" t="s">
        <v>44</v>
      </c>
      <c r="G13" s="30" t="s">
        <v>21</v>
      </c>
      <c r="H13" s="33">
        <v>46151</v>
      </c>
      <c r="I13" s="33">
        <v>46152</v>
      </c>
      <c r="J13" s="30">
        <f>I13-H13</f>
        <v>1</v>
      </c>
      <c r="K13" s="30" t="s">
        <v>18</v>
      </c>
      <c r="L13" s="30" t="s">
        <v>254</v>
      </c>
    </row>
    <row r="14" spans="1:12" x14ac:dyDescent="0.35">
      <c r="A14" s="26" t="s">
        <v>255</v>
      </c>
      <c r="B14" s="26" t="s">
        <v>256</v>
      </c>
      <c r="C14" s="26" t="s">
        <v>56</v>
      </c>
      <c r="D14" s="26" t="s">
        <v>230</v>
      </c>
      <c r="E14" s="37" t="s">
        <v>243</v>
      </c>
      <c r="F14" s="26" t="s">
        <v>100</v>
      </c>
      <c r="G14" s="26" t="s">
        <v>35</v>
      </c>
      <c r="H14" s="29">
        <v>46182</v>
      </c>
      <c r="I14" s="26"/>
      <c r="J14" s="26">
        <f ca="1">TODAY()-H14</f>
        <v>-38</v>
      </c>
      <c r="K14" s="26" t="s">
        <v>90</v>
      </c>
      <c r="L14" s="26" t="s">
        <v>257</v>
      </c>
    </row>
    <row r="15" spans="1:12" x14ac:dyDescent="0.35">
      <c r="A15" s="30" t="s">
        <v>258</v>
      </c>
      <c r="B15" s="30" t="s">
        <v>259</v>
      </c>
      <c r="C15" s="30" t="s">
        <v>17</v>
      </c>
      <c r="D15" s="31" t="s">
        <v>223</v>
      </c>
      <c r="E15" s="38" t="s">
        <v>65</v>
      </c>
      <c r="F15" s="30" t="s">
        <v>100</v>
      </c>
      <c r="G15" s="30" t="s">
        <v>26</v>
      </c>
      <c r="H15" s="33">
        <v>46180</v>
      </c>
      <c r="I15" s="30"/>
      <c r="J15" s="30">
        <f ca="1">TODAY()-H15</f>
        <v>-36</v>
      </c>
      <c r="K15" s="30" t="s">
        <v>90</v>
      </c>
      <c r="L15" s="30" t="s">
        <v>260</v>
      </c>
    </row>
  </sheetData>
  <autoFilter ref="A1:L15" xr:uid="{00000000-0009-0000-0000-000003000000}"/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E3B42"/>
  </sheetPr>
  <dimension ref="A1:I8"/>
  <sheetViews>
    <sheetView zoomScaleNormal="10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1" width="18" customWidth="1"/>
    <col min="2" max="5" width="16" customWidth="1"/>
    <col min="6" max="6" width="14" customWidth="1"/>
    <col min="7" max="7" width="18" customWidth="1"/>
    <col min="8" max="8" width="12" customWidth="1"/>
    <col min="9" max="9" width="18" customWidth="1"/>
  </cols>
  <sheetData>
    <row r="1" spans="1:9" ht="28" x14ac:dyDescent="0.35">
      <c r="A1" s="1" t="s">
        <v>261</v>
      </c>
      <c r="B1" s="1" t="s">
        <v>8</v>
      </c>
      <c r="C1" s="1" t="s">
        <v>262</v>
      </c>
      <c r="D1" s="1" t="s">
        <v>263</v>
      </c>
      <c r="E1" s="1" t="s">
        <v>264</v>
      </c>
      <c r="F1" s="1" t="s">
        <v>265</v>
      </c>
      <c r="G1" s="1" t="s">
        <v>266</v>
      </c>
      <c r="H1" s="1" t="s">
        <v>267</v>
      </c>
      <c r="I1" s="1" t="s">
        <v>268</v>
      </c>
    </row>
    <row r="2" spans="1:9" x14ac:dyDescent="0.35">
      <c r="A2" s="2" t="s">
        <v>21</v>
      </c>
      <c r="B2" s="2" t="s">
        <v>22</v>
      </c>
      <c r="C2" s="2">
        <v>8</v>
      </c>
      <c r="D2" s="2">
        <v>10</v>
      </c>
      <c r="E2" s="2">
        <v>5</v>
      </c>
      <c r="F2" s="2">
        <f t="shared" ref="F2:F7" si="0">SUM(C2:E2)</f>
        <v>23</v>
      </c>
      <c r="G2" s="2">
        <v>8</v>
      </c>
      <c r="H2" s="2">
        <v>3</v>
      </c>
      <c r="I2" s="2">
        <v>3.5</v>
      </c>
    </row>
    <row r="3" spans="1:9" x14ac:dyDescent="0.35">
      <c r="A3" s="6" t="s">
        <v>26</v>
      </c>
      <c r="B3" s="6" t="s">
        <v>27</v>
      </c>
      <c r="C3" s="6">
        <v>18</v>
      </c>
      <c r="D3" s="6">
        <v>19</v>
      </c>
      <c r="E3" s="6">
        <v>0</v>
      </c>
      <c r="F3" s="6">
        <f t="shared" si="0"/>
        <v>37</v>
      </c>
      <c r="G3" s="6">
        <v>8</v>
      </c>
      <c r="H3" s="6">
        <v>3</v>
      </c>
      <c r="I3" s="6">
        <v>5.2</v>
      </c>
    </row>
    <row r="4" spans="1:9" x14ac:dyDescent="0.35">
      <c r="A4" s="2" t="s">
        <v>35</v>
      </c>
      <c r="B4" s="2" t="s">
        <v>27</v>
      </c>
      <c r="C4" s="2">
        <v>5</v>
      </c>
      <c r="D4" s="2">
        <v>10</v>
      </c>
      <c r="E4" s="2">
        <v>8</v>
      </c>
      <c r="F4" s="2">
        <f t="shared" si="0"/>
        <v>23</v>
      </c>
      <c r="G4" s="2">
        <v>7</v>
      </c>
      <c r="H4" s="2">
        <v>2</v>
      </c>
      <c r="I4" s="2">
        <v>4</v>
      </c>
    </row>
    <row r="5" spans="1:9" x14ac:dyDescent="0.35">
      <c r="A5" s="6" t="s">
        <v>44</v>
      </c>
      <c r="B5" s="6" t="s">
        <v>45</v>
      </c>
      <c r="C5" s="6">
        <v>8</v>
      </c>
      <c r="D5" s="6">
        <v>5</v>
      </c>
      <c r="E5" s="6">
        <v>2</v>
      </c>
      <c r="F5" s="6">
        <f t="shared" si="0"/>
        <v>15</v>
      </c>
      <c r="G5" s="6">
        <v>5</v>
      </c>
      <c r="H5" s="6">
        <v>0</v>
      </c>
      <c r="I5" s="6">
        <v>4.5</v>
      </c>
    </row>
    <row r="6" spans="1:9" x14ac:dyDescent="0.35">
      <c r="A6" s="2" t="s">
        <v>100</v>
      </c>
      <c r="B6" s="2" t="s">
        <v>101</v>
      </c>
      <c r="C6" s="2">
        <v>0</v>
      </c>
      <c r="D6" s="2">
        <v>0</v>
      </c>
      <c r="E6" s="2">
        <v>16</v>
      </c>
      <c r="F6" s="2">
        <f t="shared" si="0"/>
        <v>16</v>
      </c>
      <c r="G6" s="2">
        <v>3</v>
      </c>
      <c r="H6" s="2">
        <v>0</v>
      </c>
      <c r="I6" s="2">
        <v>5.7</v>
      </c>
    </row>
    <row r="7" spans="1:9" x14ac:dyDescent="0.35">
      <c r="A7" s="6" t="s">
        <v>84</v>
      </c>
      <c r="B7" s="6" t="s">
        <v>85</v>
      </c>
      <c r="C7" s="6">
        <v>0</v>
      </c>
      <c r="D7" s="6">
        <v>2</v>
      </c>
      <c r="E7" s="6">
        <v>8</v>
      </c>
      <c r="F7" s="6">
        <f t="shared" si="0"/>
        <v>10</v>
      </c>
      <c r="G7" s="6">
        <v>4</v>
      </c>
      <c r="H7" s="6">
        <v>0</v>
      </c>
      <c r="I7" s="6">
        <v>3</v>
      </c>
    </row>
    <row r="8" spans="1:9" x14ac:dyDescent="0.35">
      <c r="A8" s="19" t="s">
        <v>269</v>
      </c>
      <c r="C8" s="19">
        <f t="shared" ref="C8:I8" si="1">SUM(C2:C7)</f>
        <v>39</v>
      </c>
      <c r="D8" s="19">
        <f t="shared" si="1"/>
        <v>46</v>
      </c>
      <c r="E8" s="19">
        <f t="shared" si="1"/>
        <v>39</v>
      </c>
      <c r="F8" s="19">
        <f t="shared" si="1"/>
        <v>124</v>
      </c>
      <c r="G8" s="19">
        <f t="shared" si="1"/>
        <v>35</v>
      </c>
      <c r="H8" s="19">
        <f t="shared" si="1"/>
        <v>8</v>
      </c>
      <c r="I8" s="19">
        <f t="shared" si="1"/>
        <v>25.9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4A90D9"/>
  </sheetPr>
  <dimension ref="A1:H31"/>
  <sheetViews>
    <sheetView zoomScaleNormal="10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1" width="6" customWidth="1"/>
    <col min="2" max="2" width="12" customWidth="1"/>
    <col min="3" max="3" width="20" customWidth="1"/>
    <col min="4" max="4" width="16" customWidth="1"/>
    <col min="5" max="5" width="20" customWidth="1"/>
    <col min="6" max="6" width="16" customWidth="1"/>
    <col min="7" max="7" width="20" customWidth="1"/>
    <col min="8" max="8" width="16" customWidth="1"/>
  </cols>
  <sheetData>
    <row r="1" spans="1:8" x14ac:dyDescent="0.35">
      <c r="A1" s="1" t="s">
        <v>270</v>
      </c>
      <c r="B1" s="1" t="s">
        <v>271</v>
      </c>
      <c r="C1" s="1" t="s">
        <v>272</v>
      </c>
      <c r="D1" s="1" t="s">
        <v>273</v>
      </c>
      <c r="E1" s="1" t="s">
        <v>274</v>
      </c>
      <c r="F1" s="1" t="s">
        <v>275</v>
      </c>
      <c r="G1" s="1" t="s">
        <v>276</v>
      </c>
      <c r="H1" s="1" t="s">
        <v>277</v>
      </c>
    </row>
    <row r="2" spans="1:8" x14ac:dyDescent="0.35">
      <c r="A2" s="2">
        <v>1</v>
      </c>
      <c r="B2" s="5">
        <v>46146</v>
      </c>
      <c r="C2" s="2">
        <v>44</v>
      </c>
      <c r="D2" s="2">
        <v>44</v>
      </c>
      <c r="E2" s="2"/>
      <c r="F2" s="2"/>
      <c r="G2" s="2"/>
      <c r="H2" s="2"/>
    </row>
    <row r="3" spans="1:8" x14ac:dyDescent="0.35">
      <c r="A3" s="6">
        <v>2</v>
      </c>
      <c r="B3" s="9">
        <v>46147</v>
      </c>
      <c r="C3" s="6">
        <v>44</v>
      </c>
      <c r="D3" s="6">
        <v>39.6</v>
      </c>
      <c r="E3" s="6"/>
      <c r="F3" s="6"/>
      <c r="G3" s="6"/>
      <c r="H3" s="6"/>
    </row>
    <row r="4" spans="1:8" x14ac:dyDescent="0.35">
      <c r="A4" s="2">
        <v>3</v>
      </c>
      <c r="B4" s="5">
        <v>46148</v>
      </c>
      <c r="C4" s="2">
        <v>41</v>
      </c>
      <c r="D4" s="2">
        <v>35.200000000000003</v>
      </c>
      <c r="E4" s="2"/>
      <c r="F4" s="2"/>
      <c r="G4" s="2"/>
      <c r="H4" s="2"/>
    </row>
    <row r="5" spans="1:8" x14ac:dyDescent="0.35">
      <c r="A5" s="6">
        <v>4</v>
      </c>
      <c r="B5" s="9">
        <v>46149</v>
      </c>
      <c r="C5" s="6">
        <v>38</v>
      </c>
      <c r="D5" s="6">
        <v>30.8</v>
      </c>
      <c r="E5" s="6"/>
      <c r="F5" s="6"/>
      <c r="G5" s="6"/>
      <c r="H5" s="6"/>
    </row>
    <row r="6" spans="1:8" x14ac:dyDescent="0.35">
      <c r="A6" s="2">
        <v>5</v>
      </c>
      <c r="B6" s="5">
        <v>46150</v>
      </c>
      <c r="C6" s="2">
        <v>33</v>
      </c>
      <c r="D6" s="2">
        <v>26.4</v>
      </c>
      <c r="E6" s="2"/>
      <c r="F6" s="2"/>
      <c r="G6" s="2"/>
      <c r="H6" s="2"/>
    </row>
    <row r="7" spans="1:8" x14ac:dyDescent="0.35">
      <c r="A7" s="6">
        <v>6</v>
      </c>
      <c r="B7" s="9">
        <v>46151</v>
      </c>
      <c r="C7" s="6">
        <v>28</v>
      </c>
      <c r="D7" s="6">
        <v>22</v>
      </c>
      <c r="E7" s="6"/>
      <c r="F7" s="6"/>
      <c r="G7" s="6"/>
      <c r="H7" s="6"/>
    </row>
    <row r="8" spans="1:8" x14ac:dyDescent="0.35">
      <c r="A8" s="2">
        <v>7</v>
      </c>
      <c r="B8" s="5">
        <v>46153</v>
      </c>
      <c r="C8" s="2">
        <v>20</v>
      </c>
      <c r="D8" s="2">
        <v>17.600000000000001</v>
      </c>
      <c r="E8" s="2"/>
      <c r="F8" s="2"/>
      <c r="G8" s="2"/>
      <c r="H8" s="2"/>
    </row>
    <row r="9" spans="1:8" x14ac:dyDescent="0.35">
      <c r="A9" s="6">
        <v>8</v>
      </c>
      <c r="B9" s="9">
        <v>46154</v>
      </c>
      <c r="C9" s="6">
        <v>12</v>
      </c>
      <c r="D9" s="6">
        <v>13.2</v>
      </c>
      <c r="E9" s="6"/>
      <c r="F9" s="6"/>
      <c r="G9" s="6"/>
      <c r="H9" s="6"/>
    </row>
    <row r="10" spans="1:8" x14ac:dyDescent="0.35">
      <c r="A10" s="2">
        <v>9</v>
      </c>
      <c r="B10" s="5">
        <v>46155</v>
      </c>
      <c r="C10" s="2">
        <v>7</v>
      </c>
      <c r="D10" s="2">
        <v>8.8000000000000007</v>
      </c>
      <c r="E10" s="2"/>
      <c r="F10" s="2"/>
      <c r="G10" s="2"/>
      <c r="H10" s="2"/>
    </row>
    <row r="11" spans="1:8" x14ac:dyDescent="0.35">
      <c r="A11" s="6">
        <v>10</v>
      </c>
      <c r="B11" s="9">
        <v>46157</v>
      </c>
      <c r="C11" s="6">
        <v>0</v>
      </c>
      <c r="D11" s="6">
        <v>0</v>
      </c>
      <c r="E11" s="6"/>
      <c r="F11" s="6"/>
      <c r="G11" s="6"/>
      <c r="H11" s="6"/>
    </row>
    <row r="12" spans="1:8" x14ac:dyDescent="0.35">
      <c r="A12" s="2">
        <v>1</v>
      </c>
      <c r="B12" s="5">
        <v>46160</v>
      </c>
      <c r="C12" s="2"/>
      <c r="D12" s="2"/>
      <c r="E12" s="2">
        <v>31</v>
      </c>
      <c r="F12" s="2">
        <v>31</v>
      </c>
      <c r="G12" s="2"/>
      <c r="H12" s="2"/>
    </row>
    <row r="13" spans="1:8" x14ac:dyDescent="0.35">
      <c r="A13" s="6">
        <v>2</v>
      </c>
      <c r="B13" s="9">
        <v>46161</v>
      </c>
      <c r="C13" s="6"/>
      <c r="D13" s="6"/>
      <c r="E13" s="6">
        <v>31</v>
      </c>
      <c r="F13" s="6">
        <v>27.9</v>
      </c>
      <c r="G13" s="6"/>
      <c r="H13" s="6"/>
    </row>
    <row r="14" spans="1:8" x14ac:dyDescent="0.35">
      <c r="A14" s="2">
        <v>3</v>
      </c>
      <c r="B14" s="5">
        <v>46162</v>
      </c>
      <c r="C14" s="2"/>
      <c r="D14" s="2"/>
      <c r="E14" s="2">
        <v>28</v>
      </c>
      <c r="F14" s="2">
        <v>24.8</v>
      </c>
      <c r="G14" s="2"/>
      <c r="H14" s="2"/>
    </row>
    <row r="15" spans="1:8" x14ac:dyDescent="0.35">
      <c r="A15" s="6">
        <v>4</v>
      </c>
      <c r="B15" s="9">
        <v>46163</v>
      </c>
      <c r="C15" s="6"/>
      <c r="D15" s="6"/>
      <c r="E15" s="6">
        <v>23</v>
      </c>
      <c r="F15" s="6">
        <v>21.7</v>
      </c>
      <c r="G15" s="6"/>
      <c r="H15" s="6"/>
    </row>
    <row r="16" spans="1:8" x14ac:dyDescent="0.35">
      <c r="A16" s="2">
        <v>5</v>
      </c>
      <c r="B16" s="5">
        <v>46164</v>
      </c>
      <c r="C16" s="2"/>
      <c r="D16" s="2"/>
      <c r="E16" s="2">
        <v>20</v>
      </c>
      <c r="F16" s="2">
        <v>18.600000000000001</v>
      </c>
      <c r="G16" s="2"/>
      <c r="H16" s="2"/>
    </row>
    <row r="17" spans="1:8" x14ac:dyDescent="0.35">
      <c r="A17" s="6">
        <v>6</v>
      </c>
      <c r="B17" s="9">
        <v>46165</v>
      </c>
      <c r="C17" s="6"/>
      <c r="D17" s="6"/>
      <c r="E17" s="6">
        <v>15</v>
      </c>
      <c r="F17" s="6">
        <v>15.5</v>
      </c>
      <c r="G17" s="6"/>
      <c r="H17" s="6"/>
    </row>
    <row r="18" spans="1:8" x14ac:dyDescent="0.35">
      <c r="A18" s="2">
        <v>7</v>
      </c>
      <c r="B18" s="5">
        <v>46168</v>
      </c>
      <c r="C18" s="2"/>
      <c r="D18" s="2"/>
      <c r="E18" s="2">
        <v>12</v>
      </c>
      <c r="F18" s="2">
        <v>12.4</v>
      </c>
      <c r="G18" s="2"/>
      <c r="H18" s="2"/>
    </row>
    <row r="19" spans="1:8" x14ac:dyDescent="0.35">
      <c r="A19" s="6">
        <v>8</v>
      </c>
      <c r="B19" s="9">
        <v>46169</v>
      </c>
      <c r="C19" s="6"/>
      <c r="D19" s="6"/>
      <c r="E19" s="6">
        <v>10</v>
      </c>
      <c r="F19" s="6">
        <v>9.3000000000000007</v>
      </c>
      <c r="G19" s="6"/>
      <c r="H19" s="6"/>
    </row>
    <row r="20" spans="1:8" x14ac:dyDescent="0.35">
      <c r="A20" s="2">
        <v>9</v>
      </c>
      <c r="B20" s="5">
        <v>46170</v>
      </c>
      <c r="C20" s="2"/>
      <c r="D20" s="2"/>
      <c r="E20" s="2">
        <v>7</v>
      </c>
      <c r="F20" s="2">
        <v>6.2</v>
      </c>
      <c r="G20" s="2"/>
      <c r="H20" s="2"/>
    </row>
    <row r="21" spans="1:8" x14ac:dyDescent="0.35">
      <c r="A21" s="6">
        <v>10</v>
      </c>
      <c r="B21" s="9">
        <v>46171</v>
      </c>
      <c r="C21" s="6"/>
      <c r="D21" s="6"/>
      <c r="E21" s="6">
        <v>5</v>
      </c>
      <c r="F21" s="6">
        <v>0</v>
      </c>
      <c r="G21" s="6"/>
      <c r="H21" s="6"/>
    </row>
    <row r="22" spans="1:8" x14ac:dyDescent="0.35">
      <c r="A22" s="2">
        <v>1</v>
      </c>
      <c r="B22" s="5">
        <v>46174</v>
      </c>
      <c r="C22" s="2"/>
      <c r="D22" s="2"/>
      <c r="E22" s="2"/>
      <c r="F22" s="2"/>
      <c r="G22" s="2">
        <v>34</v>
      </c>
      <c r="H22" s="2">
        <v>34</v>
      </c>
    </row>
    <row r="23" spans="1:8" x14ac:dyDescent="0.35">
      <c r="A23" s="6">
        <v>2</v>
      </c>
      <c r="B23" s="9">
        <v>46175</v>
      </c>
      <c r="C23" s="6"/>
      <c r="D23" s="6"/>
      <c r="E23" s="6"/>
      <c r="F23" s="6"/>
      <c r="G23" s="6">
        <v>34</v>
      </c>
      <c r="H23" s="6">
        <v>30.6</v>
      </c>
    </row>
    <row r="24" spans="1:8" x14ac:dyDescent="0.35">
      <c r="A24" s="2">
        <v>3</v>
      </c>
      <c r="B24" s="5">
        <v>46176</v>
      </c>
      <c r="C24" s="2"/>
      <c r="D24" s="2"/>
      <c r="E24" s="2"/>
      <c r="F24" s="2"/>
      <c r="G24" s="2">
        <v>29</v>
      </c>
      <c r="H24" s="2">
        <v>27.2</v>
      </c>
    </row>
    <row r="25" spans="1:8" x14ac:dyDescent="0.35">
      <c r="A25" s="6">
        <v>4</v>
      </c>
      <c r="B25" s="9">
        <v>46177</v>
      </c>
      <c r="C25" s="6"/>
      <c r="D25" s="6"/>
      <c r="E25" s="6"/>
      <c r="F25" s="6"/>
      <c r="G25" s="6">
        <v>24</v>
      </c>
      <c r="H25" s="6">
        <v>23.8</v>
      </c>
    </row>
    <row r="26" spans="1:8" x14ac:dyDescent="0.35">
      <c r="A26" s="2">
        <v>5</v>
      </c>
      <c r="B26" s="5">
        <v>46178</v>
      </c>
      <c r="C26" s="2"/>
      <c r="D26" s="2"/>
      <c r="E26" s="2"/>
      <c r="F26" s="2"/>
      <c r="G26" s="2">
        <v>19</v>
      </c>
      <c r="H26" s="2">
        <v>20.399999999999999</v>
      </c>
    </row>
    <row r="27" spans="1:8" x14ac:dyDescent="0.35">
      <c r="A27" s="6">
        <v>6</v>
      </c>
      <c r="B27" s="9">
        <v>46179</v>
      </c>
      <c r="C27" s="6"/>
      <c r="D27" s="6"/>
      <c r="E27" s="6"/>
      <c r="F27" s="6"/>
      <c r="G27" s="6">
        <v>14</v>
      </c>
      <c r="H27" s="6">
        <v>17</v>
      </c>
    </row>
    <row r="28" spans="1:8" x14ac:dyDescent="0.35">
      <c r="A28" s="2">
        <v>7</v>
      </c>
      <c r="B28" s="5">
        <v>46181</v>
      </c>
      <c r="C28" s="2"/>
      <c r="D28" s="2"/>
      <c r="E28" s="2"/>
      <c r="F28" s="2"/>
      <c r="G28" s="2">
        <v>11</v>
      </c>
      <c r="H28" s="2">
        <v>13.6</v>
      </c>
    </row>
    <row r="29" spans="1:8" x14ac:dyDescent="0.35">
      <c r="A29" s="6">
        <v>8</v>
      </c>
      <c r="B29" s="9">
        <v>46182</v>
      </c>
      <c r="C29" s="6"/>
      <c r="D29" s="6"/>
      <c r="E29" s="6"/>
      <c r="F29" s="6"/>
      <c r="G29" s="6">
        <v>7</v>
      </c>
      <c r="H29" s="6">
        <v>10.199999999999999</v>
      </c>
    </row>
    <row r="30" spans="1:8" x14ac:dyDescent="0.35">
      <c r="A30" s="2">
        <v>9</v>
      </c>
      <c r="B30" s="5">
        <v>46183</v>
      </c>
      <c r="C30" s="2"/>
      <c r="D30" s="2"/>
      <c r="E30" s="2"/>
      <c r="F30" s="2"/>
      <c r="G30" s="2">
        <v>5</v>
      </c>
      <c r="H30" s="2">
        <v>6.8</v>
      </c>
    </row>
    <row r="31" spans="1:8" x14ac:dyDescent="0.35">
      <c r="A31" s="6">
        <v>10</v>
      </c>
      <c r="B31" s="9">
        <v>46185</v>
      </c>
      <c r="C31" s="6"/>
      <c r="D31" s="6"/>
      <c r="E31" s="6"/>
      <c r="F31" s="6"/>
      <c r="G31" s="6">
        <v>2</v>
      </c>
      <c r="H31" s="6">
        <v>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Sprint Tracking</vt:lpstr>
      <vt:lpstr>Budget Tracking</vt:lpstr>
      <vt:lpstr>Risk Register</vt:lpstr>
      <vt:lpstr>Bug Tracker</vt:lpstr>
      <vt:lpstr>Team Summary</vt:lpstr>
      <vt:lpstr>Burndown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Ohanado Oluchi Cindy</cp:lastModifiedBy>
  <cp:revision>0</cp:revision>
  <dcterms:created xsi:type="dcterms:W3CDTF">2026-04-17T09:27:04Z</dcterms:created>
  <dcterms:modified xsi:type="dcterms:W3CDTF">2026-05-02T20:37:59Z</dcterms:modified>
  <dc:language>en-US</dc:language>
</cp:coreProperties>
</file>